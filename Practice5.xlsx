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ugam BCA\"/>
    </mc:Choice>
  </mc:AlternateContent>
  <xr:revisionPtr revIDLastSave="0" documentId="13_ncr:1_{E4615A28-BB4C-419B-81C9-7934A3F4005B}" xr6:coauthVersionLast="45" xr6:coauthVersionMax="45" xr10:uidLastSave="{00000000-0000-0000-0000-000000000000}"/>
  <bookViews>
    <workbookView xWindow="-120" yWindow="-120" windowWidth="20730" windowHeight="11160" xr2:uid="{BE1E03EF-EC76-4175-8AA8-A0B5C02C5948}"/>
  </bookViews>
  <sheets>
    <sheet name="Original Sheet" sheetId="1" r:id="rId1"/>
    <sheet name="Duplicate Sheet" sheetId="3" r:id="rId2"/>
    <sheet name="Third Sheet" sheetId="4" r:id="rId3"/>
  </sheets>
  <definedNames>
    <definedName name="_xlnm._FilterDatabase" localSheetId="1" hidden="1">'Duplicate Sheet'!$A$2:$G$21</definedName>
    <definedName name="_xlnm._FilterDatabase" localSheetId="0" hidden="1">'Original Sheet'!$A$2:$G$21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1" i="3" l="1"/>
  <c r="E21" i="3"/>
  <c r="D21" i="3"/>
  <c r="C21" i="3"/>
  <c r="B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H21" i="3" s="1"/>
  <c r="G3" i="3"/>
  <c r="H19" i="1"/>
  <c r="H2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C21" i="1"/>
  <c r="D21" i="1"/>
  <c r="E21" i="1"/>
  <c r="F21" i="1"/>
  <c r="B21" i="1"/>
  <c r="H21" i="1" l="1"/>
  <c r="G9" i="1"/>
  <c r="G8" i="1"/>
  <c r="G7" i="1"/>
  <c r="G5" i="1"/>
  <c r="G18" i="1"/>
  <c r="G3" i="1"/>
  <c r="G4" i="1"/>
  <c r="G12" i="1"/>
  <c r="G6" i="1"/>
  <c r="G17" i="1"/>
  <c r="G16" i="1"/>
  <c r="G20" i="1"/>
  <c r="G14" i="1"/>
  <c r="G15" i="1"/>
  <c r="G10" i="1"/>
  <c r="G19" i="1"/>
  <c r="G11" i="1"/>
  <c r="G13" i="1"/>
</calcChain>
</file>

<file path=xl/sharedStrings.xml><?xml version="1.0" encoding="utf-8"?>
<sst xmlns="http://schemas.openxmlformats.org/spreadsheetml/2006/main" count="82" uniqueCount="29">
  <si>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</si>
  <si>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</si>
  <si>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</si>
  <si>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</si>
  <si>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</si>
  <si>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</si>
  <si>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</si>
  <si>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</si>
  <si>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</si>
  <si>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</si>
  <si>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</si>
  <si>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</si>
  <si>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</si>
  <si>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</si>
  <si>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</si>
  <si>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</si>
  <si>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</si>
  <si>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</si>
  <si>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Sub1</t>
  </si>
  <si>
    <t>Sub2</t>
  </si>
  <si>
    <t>Sub3</t>
  </si>
  <si>
    <t>Sub4</t>
  </si>
  <si>
    <t>Sub5</t>
  </si>
  <si>
    <t>Total</t>
  </si>
  <si>
    <t>Name</t>
  </si>
  <si>
    <r>
      <rPr>
        <sz val="16"/>
        <color theme="1"/>
        <rFont val="Calibri"/>
        <family val="2"/>
        <scheme val="minor"/>
      </rPr>
      <t>National College</t>
    </r>
    <r>
      <rPr>
        <sz val="11"/>
        <color theme="1"/>
        <rFont val="Calibri"/>
        <family val="2"/>
        <scheme val="minor"/>
      </rPr>
      <t xml:space="preserve">
Banasthali, Kathmandu
</t>
    </r>
    <r>
      <rPr>
        <b/>
        <sz val="11"/>
        <color theme="1"/>
        <rFont val="Calibri"/>
        <family val="2"/>
        <scheme val="minor"/>
      </rPr>
      <t>Mark Ledger of BCA 1st SEM 2076</t>
    </r>
  </si>
  <si>
    <t>FAIL</t>
  </si>
  <si>
    <t>Fail in 2 sub</t>
  </si>
  <si>
    <t>National College
Banasthali, Kathmandu
Mark Ledger of BCA 1st SEM 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</si>
</sst>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5" fillId="0" borderId="2" xfId="0" applyFont="1" applyFill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54455600784069E-2"/>
          <c:y val="0.10546814825716878"/>
          <c:w val="0.91424494218015495"/>
          <c:h val="0.28293464508119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'Original Sheet'!$G$2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'Original Sheet'!$A$3:$A$20</c:f>
              <c:strCache>
                <c:ptCount val="18"/>
                <c:pt idx="0">
                  <c:v>G</c:v>
                </c:pt>
                <c:pt idx="1">
                  <c:v>H</c:v>
                </c:pt>
                <c:pt idx="2">
                  <c:v>E</c:v>
                </c:pt>
                <c:pt idx="3">
                  <c:v>J</c:v>
                </c:pt>
                <c:pt idx="4">
                  <c:v>D</c:v>
                </c:pt>
                <c:pt idx="5">
                  <c:v>C</c:v>
                </c:pt>
                <c:pt idx="6">
                  <c:v>B</c:v>
                </c:pt>
                <c:pt idx="7">
                  <c:v>P</c:v>
                </c:pt>
                <c:pt idx="8">
                  <c:v>R</c:v>
                </c:pt>
                <c:pt idx="9">
                  <c:v>I</c:v>
                </c:pt>
                <c:pt idx="10">
                  <c:v>A</c:v>
                </c:pt>
                <c:pt idx="11">
                  <c:v>N</c:v>
                </c:pt>
                <c:pt idx="12">
                  <c:v>O</c:v>
                </c:pt>
                <c:pt idx="13">
                  <c:v>L</c:v>
                </c:pt>
                <c:pt idx="14">
                  <c:v>K</c:v>
                </c:pt>
                <c:pt idx="15">
                  <c:v>F</c:v>
                </c:pt>
                <c:pt idx="16">
                  <c:v>Q</c:v>
                </c:pt>
                <c:pt idx="17">
                  <c:v>M</c:v>
                </c:pt>
              </c:strCache>
            </c:strRef>
          </c:cat>
          <c:val>
            <c:numRef>
              <c:f>'Original Sheet'!$G$3:$G$20</c:f>
              <c:numCache>
                <c:formatCode>General</c:formatCode>
                <c:ptCount val="18"/>
                <c:pt idx="0">
                  <c:v>392</c:v>
                </c:pt>
                <c:pt idx="1">
                  <c:v>381</c:v>
                </c:pt>
                <c:pt idx="2">
                  <c:v>379</c:v>
                </c:pt>
                <c:pt idx="3">
                  <c:v>361</c:v>
                </c:pt>
                <c:pt idx="4">
                  <c:v>358</c:v>
                </c:pt>
                <c:pt idx="5">
                  <c:v>344</c:v>
                </c:pt>
                <c:pt idx="6">
                  <c:v>342</c:v>
                </c:pt>
                <c:pt idx="7">
                  <c:v>339</c:v>
                </c:pt>
                <c:pt idx="8">
                  <c:v>337</c:v>
                </c:pt>
                <c:pt idx="9">
                  <c:v>324</c:v>
                </c:pt>
                <c:pt idx="10">
                  <c:v>320</c:v>
                </c:pt>
                <c:pt idx="11">
                  <c:v>320</c:v>
                </c:pt>
                <c:pt idx="12">
                  <c:v>313</c:v>
                </c:pt>
                <c:pt idx="13">
                  <c:v>311</c:v>
                </c:pt>
                <c:pt idx="14">
                  <c:v>294</c:v>
                </c:pt>
                <c:pt idx="15">
                  <c:v>289</c:v>
                </c:pt>
                <c:pt idx="16">
                  <c:v>286</c:v>
                </c:pt>
                <c:pt idx="17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C-4635-A6FB-D487CC4C5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864992"/>
        <c:axId val="1672377744"/>
      </c:barChart>
      <c:catAx>
        <c:axId val="17358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77744"/>
        <c:crosses val="autoZero"/>
        <c:auto val="1"/>
        <c:lblAlgn val="ctr"/>
        <c:lblOffset val="100"/>
        <c:noMultiLvlLbl val="0"/>
      </c:catAx>
      <c:valAx>
        <c:axId val="16723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54455600784069E-2"/>
          <c:y val="0.10546814825716878"/>
          <c:w val="0.91424494218015495"/>
          <c:h val="0.28293464508119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'Original Sheet'!$G$2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'Original Sheet'!$A$3:$A$20</c:f>
              <c:strCache>
                <c:ptCount val="18"/>
                <c:pt idx="0">
                  <c:v>G</c:v>
                </c:pt>
                <c:pt idx="1">
                  <c:v>H</c:v>
                </c:pt>
                <c:pt idx="2">
                  <c:v>E</c:v>
                </c:pt>
                <c:pt idx="3">
                  <c:v>J</c:v>
                </c:pt>
                <c:pt idx="4">
                  <c:v>D</c:v>
                </c:pt>
                <c:pt idx="5">
                  <c:v>C</c:v>
                </c:pt>
                <c:pt idx="6">
                  <c:v>B</c:v>
                </c:pt>
                <c:pt idx="7">
                  <c:v>P</c:v>
                </c:pt>
                <c:pt idx="8">
                  <c:v>R</c:v>
                </c:pt>
                <c:pt idx="9">
                  <c:v>I</c:v>
                </c:pt>
                <c:pt idx="10">
                  <c:v>A</c:v>
                </c:pt>
                <c:pt idx="11">
                  <c:v>N</c:v>
                </c:pt>
                <c:pt idx="12">
                  <c:v>O</c:v>
                </c:pt>
                <c:pt idx="13">
                  <c:v>L</c:v>
                </c:pt>
                <c:pt idx="14">
                  <c:v>K</c:v>
                </c:pt>
                <c:pt idx="15">
                  <c:v>F</c:v>
                </c:pt>
                <c:pt idx="16">
                  <c:v>Q</c:v>
                </c:pt>
                <c:pt idx="17">
                  <c:v>M</c:v>
                </c:pt>
              </c:strCache>
            </c:strRef>
          </c:cat>
          <c:val>
            <c:numRef>
              <c:f>'Original Sheet'!$G$3:$G$20</c:f>
              <c:numCache>
                <c:formatCode>General</c:formatCode>
                <c:ptCount val="18"/>
                <c:pt idx="0">
                  <c:v>392</c:v>
                </c:pt>
                <c:pt idx="1">
                  <c:v>381</c:v>
                </c:pt>
                <c:pt idx="2">
                  <c:v>379</c:v>
                </c:pt>
                <c:pt idx="3">
                  <c:v>361</c:v>
                </c:pt>
                <c:pt idx="4">
                  <c:v>358</c:v>
                </c:pt>
                <c:pt idx="5">
                  <c:v>344</c:v>
                </c:pt>
                <c:pt idx="6">
                  <c:v>342</c:v>
                </c:pt>
                <c:pt idx="7">
                  <c:v>339</c:v>
                </c:pt>
                <c:pt idx="8">
                  <c:v>337</c:v>
                </c:pt>
                <c:pt idx="9">
                  <c:v>324</c:v>
                </c:pt>
                <c:pt idx="10">
                  <c:v>320</c:v>
                </c:pt>
                <c:pt idx="11">
                  <c:v>320</c:v>
                </c:pt>
                <c:pt idx="12">
                  <c:v>313</c:v>
                </c:pt>
                <c:pt idx="13">
                  <c:v>311</c:v>
                </c:pt>
                <c:pt idx="14">
                  <c:v>294</c:v>
                </c:pt>
                <c:pt idx="15">
                  <c:v>289</c:v>
                </c:pt>
                <c:pt idx="16">
                  <c:v>286</c:v>
                </c:pt>
                <c:pt idx="17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C-4635-A6FB-D487CC4C5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864992"/>
        <c:axId val="1672377744"/>
      </c:barChart>
      <c:catAx>
        <c:axId val="17358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77744"/>
        <c:crosses val="autoZero"/>
        <c:auto val="1"/>
        <c:lblAlgn val="ctr"/>
        <c:lblOffset val="100"/>
        <c:noMultiLvlLbl val="0"/>
      </c:catAx>
      <c:valAx>
        <c:axId val="16723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57151</xdr:colOff>
      <xdr:row>0</xdr:row>
      <xdr:rowOff>38100</xdr:rowOff>
    </xdr:from>
    <xdr:to>
      <xdr:col>18</xdr:col>
      <xdr:colOff>333375</xdr:colOff>
      <xdr:row>13</xdr:row>
      <xdr:rowOff>209550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9C228-C27A-48BE-A5CE-B5C5EDB3F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209551</xdr:colOff>
      <xdr:row>0</xdr:row>
      <xdr:rowOff>190500</xdr:rowOff>
    </xdr:from>
    <xdr:to>
      <xdr:col>18</xdr:col>
      <xdr:colOff>485775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A750EA-8CB2-4639-A2E7-091085A7C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D8D0-A70D-400B-8312-7DC19C0CAE7C}">
  <dimension ref="A1:H22"/>
  <sheetViews>
    <sheetView tabSelected="1" workbookViewId="0">
      <selection activeCell="U1" sqref="U1"/>
    </sheetView>
  </sheetViews>
  <sheetFormatPr defaultRowHeight="15" x14ac:dyDescent="0.25"/>
  <cols>
    <col min="7" max="7" width="11.28515625" bestFit="1" customWidth="1"/>
  </cols>
  <sheetData>
    <row r="1" spans="1:8" ht="60" customHeight="1" x14ac:dyDescent="0.25">
      <c r="A1" s="2" t="s">
        <v>25</v>
      </c>
      <c r="B1" s="1"/>
      <c r="C1" s="1"/>
      <c r="D1" s="1"/>
      <c r="E1" s="1"/>
      <c r="F1" s="1"/>
      <c r="G1" s="1"/>
    </row>
    <row r="2" spans="1:8" ht="21.95" customHeight="1" x14ac:dyDescent="0.25">
      <c r="A2" s="3" t="s">
        <v>24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spans="1:8" ht="21.95" customHeight="1" x14ac:dyDescent="0.25">
      <c r="A3" s="4" t="s">
        <v>6</v>
      </c>
      <c r="B3" s="4">
        <v>77</v>
      </c>
      <c r="C3" s="4">
        <v>88</v>
      </c>
      <c r="D3" s="4">
        <v>70</v>
      </c>
      <c r="E3" s="4">
        <v>96</v>
      </c>
      <c r="F3" s="4">
        <v>61</v>
      </c>
      <c r="G3" s="5">
        <f>SUM(B3:F3)</f>
        <v>392</v>
      </c>
      <c r="H3">
        <f>COUNTIF(B3:F3,"&lt;40")</f>
        <v>0</v>
      </c>
    </row>
    <row r="4" spans="1:8" ht="21.95" customHeight="1" x14ac:dyDescent="0.25">
      <c r="A4" s="4" t="s">
        <v>7</v>
      </c>
      <c r="B4" s="4">
        <v>78</v>
      </c>
      <c r="C4" s="4">
        <v>70</v>
      </c>
      <c r="D4" s="4">
        <v>79</v>
      </c>
      <c r="E4" s="4">
        <v>93</v>
      </c>
      <c r="F4" s="4">
        <v>61</v>
      </c>
      <c r="G4" s="5">
        <f>SUM(B4:F4)</f>
        <v>381</v>
      </c>
      <c r="H4">
        <f t="shared" ref="H4:H22" si="0">COUNTIF(B4:F4,"&lt;40")</f>
        <v>0</v>
      </c>
    </row>
    <row r="5" spans="1:8" ht="21.95" customHeight="1" x14ac:dyDescent="0.25">
      <c r="A5" s="4" t="s">
        <v>4</v>
      </c>
      <c r="B5" s="4">
        <v>87</v>
      </c>
      <c r="C5" s="4">
        <v>62</v>
      </c>
      <c r="D5" s="4">
        <v>93</v>
      </c>
      <c r="E5" s="4">
        <v>77</v>
      </c>
      <c r="F5" s="4">
        <v>60</v>
      </c>
      <c r="G5" s="5">
        <f>SUM(B5:F5)</f>
        <v>379</v>
      </c>
      <c r="H5">
        <f t="shared" si="0"/>
        <v>0</v>
      </c>
    </row>
    <row r="6" spans="1:8" ht="21.95" customHeight="1" x14ac:dyDescent="0.25">
      <c r="A6" s="4" t="s">
        <v>9</v>
      </c>
      <c r="B6" s="4">
        <v>68</v>
      </c>
      <c r="C6" s="4">
        <v>97</v>
      </c>
      <c r="D6" s="4">
        <v>61</v>
      </c>
      <c r="E6" s="4">
        <v>79</v>
      </c>
      <c r="F6" s="4">
        <v>56</v>
      </c>
      <c r="G6" s="5">
        <f>SUM(B6:F6)</f>
        <v>361</v>
      </c>
      <c r="H6">
        <f t="shared" si="0"/>
        <v>0</v>
      </c>
    </row>
    <row r="7" spans="1:8" ht="21.95" customHeight="1" x14ac:dyDescent="0.25">
      <c r="A7" s="4" t="s">
        <v>3</v>
      </c>
      <c r="B7" s="4">
        <v>74</v>
      </c>
      <c r="C7" s="4">
        <v>80</v>
      </c>
      <c r="D7" s="4">
        <v>49</v>
      </c>
      <c r="E7" s="4">
        <v>98</v>
      </c>
      <c r="F7" s="4">
        <v>57</v>
      </c>
      <c r="G7" s="5">
        <f>SUM(B7:F7)</f>
        <v>358</v>
      </c>
      <c r="H7">
        <f t="shared" si="0"/>
        <v>0</v>
      </c>
    </row>
    <row r="8" spans="1:8" ht="21.95" customHeight="1" x14ac:dyDescent="0.25">
      <c r="A8" s="4" t="s">
        <v>2</v>
      </c>
      <c r="B8" s="4">
        <v>66</v>
      </c>
      <c r="C8" s="4">
        <v>54</v>
      </c>
      <c r="D8" s="4">
        <v>48</v>
      </c>
      <c r="E8" s="4">
        <v>92</v>
      </c>
      <c r="F8" s="4">
        <v>84</v>
      </c>
      <c r="G8" s="5">
        <f>SUM(B8:F8)</f>
        <v>344</v>
      </c>
      <c r="H8">
        <f t="shared" si="0"/>
        <v>0</v>
      </c>
    </row>
    <row r="9" spans="1:8" ht="21.95" customHeight="1" x14ac:dyDescent="0.25">
      <c r="A9" s="4" t="s">
        <v>1</v>
      </c>
      <c r="B9" s="4">
        <v>75</v>
      </c>
      <c r="C9" s="4">
        <v>74</v>
      </c>
      <c r="D9" s="4">
        <v>36</v>
      </c>
      <c r="E9" s="4">
        <v>90</v>
      </c>
      <c r="F9" s="4">
        <v>67</v>
      </c>
      <c r="G9" s="5">
        <f>SUM(B9:F9)</f>
        <v>342</v>
      </c>
      <c r="H9">
        <f t="shared" si="0"/>
        <v>1</v>
      </c>
    </row>
    <row r="10" spans="1:8" ht="21.95" customHeight="1" x14ac:dyDescent="0.25">
      <c r="A10" s="4" t="s">
        <v>15</v>
      </c>
      <c r="B10" s="4">
        <v>88</v>
      </c>
      <c r="C10" s="4">
        <v>35</v>
      </c>
      <c r="D10" s="4">
        <v>78</v>
      </c>
      <c r="E10" s="4">
        <v>61</v>
      </c>
      <c r="F10" s="4">
        <v>77</v>
      </c>
      <c r="G10" s="5">
        <f>SUM(B10:F10)</f>
        <v>339</v>
      </c>
      <c r="H10">
        <f t="shared" si="0"/>
        <v>1</v>
      </c>
    </row>
    <row r="11" spans="1:8" ht="21.95" customHeight="1" x14ac:dyDescent="0.25">
      <c r="A11" s="4" t="s">
        <v>17</v>
      </c>
      <c r="B11" s="4">
        <v>56</v>
      </c>
      <c r="C11" s="4">
        <v>37</v>
      </c>
      <c r="D11" s="4">
        <v>76</v>
      </c>
      <c r="E11" s="4">
        <v>97</v>
      </c>
      <c r="F11" s="4">
        <v>71</v>
      </c>
      <c r="G11" s="5">
        <f>SUM(B11:F11)</f>
        <v>337</v>
      </c>
      <c r="H11">
        <f t="shared" si="0"/>
        <v>1</v>
      </c>
    </row>
    <row r="12" spans="1:8" ht="21.95" customHeight="1" x14ac:dyDescent="0.25">
      <c r="A12" s="4" t="s">
        <v>8</v>
      </c>
      <c r="B12" s="4">
        <v>47</v>
      </c>
      <c r="C12" s="4">
        <v>71</v>
      </c>
      <c r="D12" s="4">
        <v>94</v>
      </c>
      <c r="E12" s="4">
        <v>53</v>
      </c>
      <c r="F12" s="4">
        <v>59</v>
      </c>
      <c r="G12" s="5">
        <f>SUM(B12:F12)</f>
        <v>324</v>
      </c>
      <c r="H12">
        <f t="shared" si="0"/>
        <v>0</v>
      </c>
    </row>
    <row r="13" spans="1:8" ht="21.95" customHeight="1" x14ac:dyDescent="0.25">
      <c r="A13" s="4" t="s">
        <v>0</v>
      </c>
      <c r="B13" s="4">
        <v>51</v>
      </c>
      <c r="C13" s="4">
        <v>96</v>
      </c>
      <c r="D13" s="4">
        <v>36</v>
      </c>
      <c r="E13" s="4">
        <v>41</v>
      </c>
      <c r="F13" s="4">
        <v>96</v>
      </c>
      <c r="G13" s="5">
        <f>SUM(B13:F13)</f>
        <v>320</v>
      </c>
      <c r="H13">
        <f t="shared" si="0"/>
        <v>1</v>
      </c>
    </row>
    <row r="14" spans="1:8" ht="21.95" customHeight="1" x14ac:dyDescent="0.25">
      <c r="A14" s="4" t="s">
        <v>13</v>
      </c>
      <c r="B14" s="4">
        <v>85</v>
      </c>
      <c r="C14" s="4">
        <v>64</v>
      </c>
      <c r="D14" s="4">
        <v>48</v>
      </c>
      <c r="E14" s="4">
        <v>35</v>
      </c>
      <c r="F14" s="4">
        <v>88</v>
      </c>
      <c r="G14" s="5">
        <f>SUM(B14:F14)</f>
        <v>320</v>
      </c>
      <c r="H14">
        <f t="shared" si="0"/>
        <v>1</v>
      </c>
    </row>
    <row r="15" spans="1:8" ht="21.95" customHeight="1" x14ac:dyDescent="0.25">
      <c r="A15" s="4" t="s">
        <v>14</v>
      </c>
      <c r="B15" s="4">
        <v>60</v>
      </c>
      <c r="C15" s="4">
        <v>49</v>
      </c>
      <c r="D15" s="4">
        <v>37</v>
      </c>
      <c r="E15" s="4">
        <v>79</v>
      </c>
      <c r="F15" s="4">
        <v>88</v>
      </c>
      <c r="G15" s="5">
        <f>SUM(B15:F15)</f>
        <v>313</v>
      </c>
      <c r="H15">
        <f t="shared" si="0"/>
        <v>1</v>
      </c>
    </row>
    <row r="16" spans="1:8" ht="21.95" customHeight="1" x14ac:dyDescent="0.25">
      <c r="A16" s="4" t="s">
        <v>11</v>
      </c>
      <c r="B16" s="4">
        <v>60</v>
      </c>
      <c r="C16" s="4">
        <v>63</v>
      </c>
      <c r="D16" s="4">
        <v>66</v>
      </c>
      <c r="E16" s="4">
        <v>73</v>
      </c>
      <c r="F16" s="4">
        <v>49</v>
      </c>
      <c r="G16" s="5">
        <f>SUM(B16:F16)</f>
        <v>311</v>
      </c>
      <c r="H16">
        <f t="shared" si="0"/>
        <v>0</v>
      </c>
    </row>
    <row r="17" spans="1:8" ht="21.95" customHeight="1" x14ac:dyDescent="0.25">
      <c r="A17" s="4" t="s">
        <v>10</v>
      </c>
      <c r="B17" s="4">
        <v>51</v>
      </c>
      <c r="C17" s="4">
        <v>38</v>
      </c>
      <c r="D17" s="4">
        <v>38</v>
      </c>
      <c r="E17" s="4">
        <v>76</v>
      </c>
      <c r="F17" s="4">
        <v>91</v>
      </c>
      <c r="G17" s="5">
        <f>SUM(B17:F17)</f>
        <v>294</v>
      </c>
      <c r="H17">
        <f t="shared" si="0"/>
        <v>2</v>
      </c>
    </row>
    <row r="18" spans="1:8" ht="21.95" customHeight="1" x14ac:dyDescent="0.25">
      <c r="A18" s="4" t="s">
        <v>5</v>
      </c>
      <c r="B18" s="4">
        <v>49</v>
      </c>
      <c r="C18" s="4">
        <v>44</v>
      </c>
      <c r="D18" s="4">
        <v>52</v>
      </c>
      <c r="E18" s="4">
        <v>45</v>
      </c>
      <c r="F18" s="4">
        <v>99</v>
      </c>
      <c r="G18" s="5">
        <f>SUM(B18:F18)</f>
        <v>289</v>
      </c>
      <c r="H18">
        <f t="shared" si="0"/>
        <v>0</v>
      </c>
    </row>
    <row r="19" spans="1:8" ht="21.95" customHeight="1" x14ac:dyDescent="0.25">
      <c r="A19" s="4" t="s">
        <v>16</v>
      </c>
      <c r="B19" s="4">
        <v>83</v>
      </c>
      <c r="C19" s="4">
        <v>46</v>
      </c>
      <c r="D19" s="4">
        <v>50</v>
      </c>
      <c r="E19" s="4">
        <v>53</v>
      </c>
      <c r="F19" s="4">
        <v>54</v>
      </c>
      <c r="G19" s="5">
        <f>SUM(B19:F19)</f>
        <v>286</v>
      </c>
      <c r="H19">
        <f t="shared" si="0"/>
        <v>0</v>
      </c>
    </row>
    <row r="20" spans="1:8" ht="21.95" customHeight="1" x14ac:dyDescent="0.25">
      <c r="A20" s="4" t="s">
        <v>12</v>
      </c>
      <c r="B20" s="4">
        <v>70</v>
      </c>
      <c r="C20" s="4">
        <v>43</v>
      </c>
      <c r="D20" s="4">
        <v>66</v>
      </c>
      <c r="E20" s="4">
        <v>46</v>
      </c>
      <c r="F20" s="4">
        <v>35</v>
      </c>
      <c r="G20" s="5">
        <f>SUM(B20:F20)</f>
        <v>260</v>
      </c>
      <c r="H20">
        <f t="shared" si="0"/>
        <v>1</v>
      </c>
    </row>
    <row r="21" spans="1:8" ht="15.75" x14ac:dyDescent="0.25">
      <c r="A21" s="6" t="s">
        <v>26</v>
      </c>
      <c r="B21">
        <f>COUNTIF(B3:B20,"&lt;40")</f>
        <v>0</v>
      </c>
      <c r="C21">
        <f>COUNTIF(C3:C20,"&lt;40")</f>
        <v>3</v>
      </c>
      <c r="D21">
        <f>COUNTIF(D3:D20,"&lt;40")</f>
        <v>4</v>
      </c>
      <c r="E21">
        <f>COUNTIF(E3:E20,"&lt;40")</f>
        <v>1</v>
      </c>
      <c r="F21">
        <f>COUNTIF(F3:F20,"&lt;40")</f>
        <v>1</v>
      </c>
      <c r="G21" t="s">
        <v>27</v>
      </c>
      <c r="H21">
        <f>COUNTIF(H3:H20,"=2")</f>
        <v>1</v>
      </c>
    </row>
    <row r="22" spans="1:8" ht="15.75" x14ac:dyDescent="0.25">
      <c r="G22" s="6"/>
    </row>
  </sheetData>
  <sortState ref="A3:G20">
    <sortCondition descending="1" ref="G3:G20"/>
  </sortState>
  <mergeCells count="1">
    <mergeCell ref="A1:G1"/>
  </mergeCells>
  <phoneticPr fontId="1" type="noConversion"/>
  <conditionalFormatting sqref="B3:F20">
    <cfRule type="cellIs" dxfId="18" priority="1" operator="lessThan">
      <formula>40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AFF5-F716-4E9D-B7EA-A35FBCDA569F}">
  <dimension ref="A1:H22"/>
  <sheetViews>
    <sheetView topLeftCell="A7" workbookViewId="0">
      <selection activeCell="E21" sqref="E21"/>
    </sheetView>
  </sheetViews>
  <sheetFormatPr defaultRowHeight="15" x14ac:dyDescent="0.25"/>
  <cols>
    <col min="7" max="7" width="11.28515625" bestFit="1" customWidth="1"/>
  </cols>
  <sheetData>
    <row r="1" spans="1:8" ht="60" customHeight="1" x14ac:dyDescent="0.25">
      <c r="A1" s="2" t="s">
        <v>25</v>
      </c>
      <c r="B1" s="1"/>
      <c r="C1" s="1"/>
      <c r="D1" s="1"/>
      <c r="E1" s="1"/>
      <c r="F1" s="1"/>
      <c r="G1" s="1"/>
    </row>
    <row r="2" spans="1:8" ht="21.95" customHeight="1" x14ac:dyDescent="0.25">
      <c r="A2" s="3" t="s">
        <v>24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</row>
    <row r="3" spans="1:8" ht="21.95" customHeight="1" x14ac:dyDescent="0.25">
      <c r="A3" s="4" t="s">
        <v>6</v>
      </c>
      <c r="B3" s="4">
        <v>77</v>
      </c>
      <c r="C3" s="4">
        <v>88</v>
      </c>
      <c r="D3" s="4">
        <v>70</v>
      </c>
      <c r="E3" s="4">
        <v>96</v>
      </c>
      <c r="F3" s="4">
        <v>61</v>
      </c>
      <c r="G3" s="5">
        <f>SUM(B3:F3)</f>
        <v>392</v>
      </c>
      <c r="H3">
        <f>COUNTIF(B3:F3,"&lt;40")</f>
        <v>0</v>
      </c>
    </row>
    <row r="4" spans="1:8" ht="21.95" customHeight="1" x14ac:dyDescent="0.25">
      <c r="A4" s="4" t="s">
        <v>7</v>
      </c>
      <c r="B4" s="4">
        <v>78</v>
      </c>
      <c r="C4" s="4">
        <v>70</v>
      </c>
      <c r="D4" s="4">
        <v>79</v>
      </c>
      <c r="E4" s="4">
        <v>93</v>
      </c>
      <c r="F4" s="4">
        <v>61</v>
      </c>
      <c r="G4" s="5">
        <f>SUM(B4:F4)</f>
        <v>381</v>
      </c>
      <c r="H4">
        <f t="shared" ref="H4:H22" si="0">COUNTIF(B4:F4,"&lt;40")</f>
        <v>0</v>
      </c>
    </row>
    <row r="5" spans="1:8" ht="21.95" customHeight="1" x14ac:dyDescent="0.25">
      <c r="A5" s="4" t="s">
        <v>4</v>
      </c>
      <c r="B5" s="4">
        <v>87</v>
      </c>
      <c r="C5" s="4">
        <v>62</v>
      </c>
      <c r="D5" s="4">
        <v>93</v>
      </c>
      <c r="E5" s="4">
        <v>77</v>
      </c>
      <c r="F5" s="4">
        <v>60</v>
      </c>
      <c r="G5" s="5">
        <f>SUM(B5:F5)</f>
        <v>379</v>
      </c>
      <c r="H5">
        <f t="shared" si="0"/>
        <v>0</v>
      </c>
    </row>
    <row r="6" spans="1:8" ht="21.95" customHeight="1" x14ac:dyDescent="0.25">
      <c r="A6" s="4" t="s">
        <v>9</v>
      </c>
      <c r="B6" s="4">
        <v>68</v>
      </c>
      <c r="C6" s="4">
        <v>97</v>
      </c>
      <c r="D6" s="4">
        <v>61</v>
      </c>
      <c r="E6" s="4">
        <v>79</v>
      </c>
      <c r="F6" s="4">
        <v>56</v>
      </c>
      <c r="G6" s="5">
        <f>SUM(B6:F6)</f>
        <v>361</v>
      </c>
      <c r="H6">
        <f t="shared" si="0"/>
        <v>0</v>
      </c>
    </row>
    <row r="7" spans="1:8" ht="21.95" customHeight="1" x14ac:dyDescent="0.25">
      <c r="A7" s="4" t="s">
        <v>3</v>
      </c>
      <c r="B7" s="4">
        <v>74</v>
      </c>
      <c r="C7" s="4">
        <v>80</v>
      </c>
      <c r="D7" s="4">
        <v>49</v>
      </c>
      <c r="E7" s="4">
        <v>98</v>
      </c>
      <c r="F7" s="4">
        <v>57</v>
      </c>
      <c r="G7" s="5">
        <f>SUM(B7:F7)</f>
        <v>358</v>
      </c>
      <c r="H7">
        <f t="shared" si="0"/>
        <v>0</v>
      </c>
    </row>
    <row r="8" spans="1:8" ht="21.95" customHeight="1" x14ac:dyDescent="0.25">
      <c r="A8" s="4" t="s">
        <v>2</v>
      </c>
      <c r="B8" s="4">
        <v>66</v>
      </c>
      <c r="C8" s="4">
        <v>54</v>
      </c>
      <c r="D8" s="4">
        <v>48</v>
      </c>
      <c r="E8" s="4">
        <v>92</v>
      </c>
      <c r="F8" s="4">
        <v>84</v>
      </c>
      <c r="G8" s="5">
        <f>SUM(B8:F8)</f>
        <v>344</v>
      </c>
      <c r="H8">
        <f t="shared" si="0"/>
        <v>0</v>
      </c>
    </row>
    <row r="9" spans="1:8" ht="21.95" customHeight="1" x14ac:dyDescent="0.25">
      <c r="A9" s="4" t="s">
        <v>1</v>
      </c>
      <c r="B9" s="4">
        <v>75</v>
      </c>
      <c r="C9" s="4">
        <v>74</v>
      </c>
      <c r="D9" s="4">
        <v>36</v>
      </c>
      <c r="E9" s="4">
        <v>90</v>
      </c>
      <c r="F9" s="4">
        <v>67</v>
      </c>
      <c r="G9" s="5">
        <f>SUM(B9:F9)</f>
        <v>342</v>
      </c>
      <c r="H9">
        <f t="shared" si="0"/>
        <v>1</v>
      </c>
    </row>
    <row r="10" spans="1:8" ht="21.95" customHeight="1" x14ac:dyDescent="0.25">
      <c r="A10" s="4" t="s">
        <v>15</v>
      </c>
      <c r="B10" s="4">
        <v>88</v>
      </c>
      <c r="C10" s="4">
        <v>35</v>
      </c>
      <c r="D10" s="4">
        <v>78</v>
      </c>
      <c r="E10" s="4">
        <v>61</v>
      </c>
      <c r="F10" s="4">
        <v>77</v>
      </c>
      <c r="G10" s="5">
        <f>SUM(B10:F10)</f>
        <v>339</v>
      </c>
      <c r="H10">
        <f t="shared" si="0"/>
        <v>1</v>
      </c>
    </row>
    <row r="11" spans="1:8" ht="21.95" customHeight="1" x14ac:dyDescent="0.25">
      <c r="A11" s="4" t="s">
        <v>17</v>
      </c>
      <c r="B11" s="4">
        <v>56</v>
      </c>
      <c r="C11" s="4">
        <v>37</v>
      </c>
      <c r="D11" s="4">
        <v>76</v>
      </c>
      <c r="E11" s="4">
        <v>97</v>
      </c>
      <c r="F11" s="4">
        <v>71</v>
      </c>
      <c r="G11" s="5">
        <f>SUM(B11:F11)</f>
        <v>337</v>
      </c>
      <c r="H11">
        <f t="shared" si="0"/>
        <v>1</v>
      </c>
    </row>
    <row r="12" spans="1:8" ht="21.95" customHeight="1" x14ac:dyDescent="0.25">
      <c r="A12" s="4" t="s">
        <v>8</v>
      </c>
      <c r="B12" s="4">
        <v>47</v>
      </c>
      <c r="C12" s="4">
        <v>71</v>
      </c>
      <c r="D12" s="4">
        <v>94</v>
      </c>
      <c r="E12" s="4">
        <v>53</v>
      </c>
      <c r="F12" s="4">
        <v>59</v>
      </c>
      <c r="G12" s="5">
        <f>SUM(B12:F12)</f>
        <v>324</v>
      </c>
      <c r="H12">
        <f t="shared" si="0"/>
        <v>0</v>
      </c>
    </row>
    <row r="13" spans="1:8" ht="21.95" customHeight="1" x14ac:dyDescent="0.25">
      <c r="A13" s="4" t="s">
        <v>0</v>
      </c>
      <c r="B13" s="4">
        <v>51</v>
      </c>
      <c r="C13" s="4">
        <v>96</v>
      </c>
      <c r="D13" s="4">
        <v>36</v>
      </c>
      <c r="E13" s="4">
        <v>41</v>
      </c>
      <c r="F13" s="4">
        <v>96</v>
      </c>
      <c r="G13" s="5">
        <f>SUM(B13:F13)</f>
        <v>320</v>
      </c>
      <c r="H13">
        <f t="shared" si="0"/>
        <v>1</v>
      </c>
    </row>
    <row r="14" spans="1:8" ht="21.95" customHeight="1" x14ac:dyDescent="0.25">
      <c r="A14" s="4" t="s">
        <v>13</v>
      </c>
      <c r="B14" s="4">
        <v>85</v>
      </c>
      <c r="C14" s="4">
        <v>64</v>
      </c>
      <c r="D14" s="4">
        <v>48</v>
      </c>
      <c r="E14" s="4">
        <v>35</v>
      </c>
      <c r="F14" s="4">
        <v>88</v>
      </c>
      <c r="G14" s="5">
        <f>SUM(B14:F14)</f>
        <v>320</v>
      </c>
      <c r="H14">
        <f t="shared" si="0"/>
        <v>1</v>
      </c>
    </row>
    <row r="15" spans="1:8" ht="21.95" customHeight="1" x14ac:dyDescent="0.25">
      <c r="A15" s="4" t="s">
        <v>14</v>
      </c>
      <c r="B15" s="4">
        <v>60</v>
      </c>
      <c r="C15" s="4">
        <v>49</v>
      </c>
      <c r="D15" s="4">
        <v>37</v>
      </c>
      <c r="E15" s="4">
        <v>79</v>
      </c>
      <c r="F15" s="4">
        <v>88</v>
      </c>
      <c r="G15" s="5">
        <f>SUM(B15:F15)</f>
        <v>313</v>
      </c>
      <c r="H15">
        <f t="shared" si="0"/>
        <v>1</v>
      </c>
    </row>
    <row r="16" spans="1:8" ht="21.95" customHeight="1" x14ac:dyDescent="0.25">
      <c r="A16" s="4" t="s">
        <v>11</v>
      </c>
      <c r="B16" s="4">
        <v>60</v>
      </c>
      <c r="C16" s="4">
        <v>63</v>
      </c>
      <c r="D16" s="4">
        <v>66</v>
      </c>
      <c r="E16" s="4">
        <v>73</v>
      </c>
      <c r="F16" s="4">
        <v>49</v>
      </c>
      <c r="G16" s="5">
        <f>SUM(B16:F16)</f>
        <v>311</v>
      </c>
      <c r="H16">
        <f t="shared" si="0"/>
        <v>0</v>
      </c>
    </row>
    <row r="17" spans="1:8" ht="21.95" customHeight="1" x14ac:dyDescent="0.25">
      <c r="A17" s="4" t="s">
        <v>10</v>
      </c>
      <c r="B17" s="4">
        <v>51</v>
      </c>
      <c r="C17" s="4">
        <v>38</v>
      </c>
      <c r="D17" s="4">
        <v>38</v>
      </c>
      <c r="E17" s="4">
        <v>76</v>
      </c>
      <c r="F17" s="4">
        <v>91</v>
      </c>
      <c r="G17" s="5">
        <f>SUM(B17:F17)</f>
        <v>294</v>
      </c>
      <c r="H17">
        <f t="shared" si="0"/>
        <v>2</v>
      </c>
    </row>
    <row r="18" spans="1:8" ht="21.95" customHeight="1" x14ac:dyDescent="0.25">
      <c r="A18" s="4" t="s">
        <v>5</v>
      </c>
      <c r="B18" s="4">
        <v>49</v>
      </c>
      <c r="C18" s="4">
        <v>44</v>
      </c>
      <c r="D18" s="4">
        <v>52</v>
      </c>
      <c r="E18" s="4">
        <v>45</v>
      </c>
      <c r="F18" s="4">
        <v>99</v>
      </c>
      <c r="G18" s="5">
        <f>SUM(B18:F18)</f>
        <v>289</v>
      </c>
      <c r="H18">
        <f t="shared" si="0"/>
        <v>0</v>
      </c>
    </row>
    <row r="19" spans="1:8" ht="21.95" customHeight="1" x14ac:dyDescent="0.25">
      <c r="A19" s="4" t="s">
        <v>16</v>
      </c>
      <c r="B19" s="4">
        <v>83</v>
      </c>
      <c r="C19" s="4">
        <v>46</v>
      </c>
      <c r="D19" s="4">
        <v>50</v>
      </c>
      <c r="E19" s="4">
        <v>53</v>
      </c>
      <c r="F19" s="4">
        <v>54</v>
      </c>
      <c r="G19" s="5">
        <f>SUM(B19:F19)</f>
        <v>286</v>
      </c>
      <c r="H19">
        <f t="shared" si="0"/>
        <v>0</v>
      </c>
    </row>
    <row r="20" spans="1:8" ht="21.95" customHeight="1" x14ac:dyDescent="0.25">
      <c r="A20" s="4" t="s">
        <v>12</v>
      </c>
      <c r="B20" s="4">
        <v>70</v>
      </c>
      <c r="C20" s="4">
        <v>43</v>
      </c>
      <c r="D20" s="4">
        <v>66</v>
      </c>
      <c r="E20" s="4">
        <v>46</v>
      </c>
      <c r="F20" s="4">
        <v>35</v>
      </c>
      <c r="G20" s="5">
        <f>SUM(B20:F20)</f>
        <v>260</v>
      </c>
      <c r="H20">
        <f t="shared" si="0"/>
        <v>1</v>
      </c>
    </row>
    <row r="21" spans="1:8" ht="15.75" x14ac:dyDescent="0.25">
      <c r="A21" s="6" t="s">
        <v>26</v>
      </c>
      <c r="B21">
        <f>COUNTIF(B3:B20,"&lt;40")</f>
        <v>0</v>
      </c>
      <c r="C21">
        <f>COUNTIF(C3:C20,"&lt;40")</f>
        <v>3</v>
      </c>
      <c r="D21">
        <f>COUNTIF(D3:D20,"&lt;40")</f>
        <v>4</v>
      </c>
      <c r="E21">
        <f>COUNTIF(E3:E20,"&lt;40")</f>
        <v>1</v>
      </c>
      <c r="F21">
        <f>COUNTIF(F3:F20,"&lt;40")</f>
        <v>1</v>
      </c>
      <c r="G21" t="s">
        <v>27</v>
      </c>
      <c r="H21">
        <f>COUNTIF(H3:H20,"=2")</f>
        <v>1</v>
      </c>
    </row>
    <row r="22" spans="1:8" ht="15.75" x14ac:dyDescent="0.25">
      <c r="G22" s="6"/>
    </row>
  </sheetData>
  <mergeCells count="1">
    <mergeCell ref="A1:G1"/>
  </mergeCells>
  <conditionalFormatting sqref="B3:F20">
    <cfRule type="cellIs" dxfId="17" priority="1" operator="lessThan">
      <formula>40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E249-03A9-44AA-B02A-91DD5286EDC6}">
  <dimension ref="A1:G20"/>
  <sheetViews>
    <sheetView workbookViewId="0">
      <selection activeCell="E12" sqref="E12"/>
    </sheetView>
  </sheetViews>
  <sheetFormatPr defaultRowHeight="15" x14ac:dyDescent="0.25"/>
  <sheetData>
    <row r="1" spans="1:7" ht="15" customHeight="1" x14ac:dyDescent="0.25">
      <c r="A1" t="s">
        <v>28</v>
      </c>
    </row>
    <row r="2" spans="1:7" x14ac:dyDescent="0.25">
      <c r="A2" t="s">
        <v>24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25">
      <c r="A3" t="s">
        <v>6</v>
      </c>
      <c r="B3">
        <v>77</v>
      </c>
      <c r="C3">
        <v>88</v>
      </c>
      <c r="D3">
        <v>70</v>
      </c>
      <c r="E3">
        <v>96</v>
      </c>
      <c r="F3">
        <v>61</v>
      </c>
      <c r="G3">
        <v>392</v>
      </c>
    </row>
    <row r="4" spans="1:7" x14ac:dyDescent="0.25">
      <c r="A4" t="s">
        <v>7</v>
      </c>
      <c r="B4">
        <v>78</v>
      </c>
      <c r="C4">
        <v>70</v>
      </c>
      <c r="D4">
        <v>79</v>
      </c>
      <c r="E4">
        <v>93</v>
      </c>
      <c r="F4">
        <v>61</v>
      </c>
      <c r="G4">
        <v>381</v>
      </c>
    </row>
    <row r="5" spans="1:7" x14ac:dyDescent="0.25">
      <c r="A5" t="s">
        <v>4</v>
      </c>
      <c r="B5">
        <v>87</v>
      </c>
      <c r="C5">
        <v>62</v>
      </c>
      <c r="D5">
        <v>93</v>
      </c>
      <c r="E5">
        <v>77</v>
      </c>
      <c r="F5">
        <v>60</v>
      </c>
      <c r="G5">
        <v>379</v>
      </c>
    </row>
    <row r="6" spans="1:7" x14ac:dyDescent="0.25">
      <c r="A6" t="s">
        <v>9</v>
      </c>
      <c r="B6">
        <v>68</v>
      </c>
      <c r="C6">
        <v>97</v>
      </c>
      <c r="D6">
        <v>61</v>
      </c>
      <c r="E6">
        <v>79</v>
      </c>
      <c r="F6">
        <v>56</v>
      </c>
      <c r="G6">
        <v>361</v>
      </c>
    </row>
    <row r="7" spans="1:7" x14ac:dyDescent="0.25">
      <c r="A7" t="s">
        <v>3</v>
      </c>
      <c r="B7">
        <v>74</v>
      </c>
      <c r="C7">
        <v>80</v>
      </c>
      <c r="D7">
        <v>49</v>
      </c>
      <c r="E7">
        <v>98</v>
      </c>
      <c r="F7">
        <v>57</v>
      </c>
      <c r="G7">
        <v>358</v>
      </c>
    </row>
    <row r="8" spans="1:7" x14ac:dyDescent="0.25">
      <c r="A8" t="s">
        <v>2</v>
      </c>
      <c r="B8">
        <v>66</v>
      </c>
      <c r="C8">
        <v>54</v>
      </c>
      <c r="D8">
        <v>48</v>
      </c>
      <c r="E8">
        <v>92</v>
      </c>
      <c r="F8">
        <v>84</v>
      </c>
      <c r="G8">
        <v>344</v>
      </c>
    </row>
    <row r="9" spans="1:7" x14ac:dyDescent="0.25">
      <c r="A9" t="s">
        <v>1</v>
      </c>
      <c r="B9">
        <v>75</v>
      </c>
      <c r="C9">
        <v>74</v>
      </c>
      <c r="D9">
        <v>36</v>
      </c>
      <c r="E9">
        <v>90</v>
      </c>
      <c r="F9">
        <v>67</v>
      </c>
      <c r="G9">
        <v>342</v>
      </c>
    </row>
    <row r="10" spans="1:7" x14ac:dyDescent="0.25">
      <c r="A10" t="s">
        <v>15</v>
      </c>
      <c r="B10">
        <v>88</v>
      </c>
      <c r="C10">
        <v>35</v>
      </c>
      <c r="D10">
        <v>78</v>
      </c>
      <c r="E10">
        <v>61</v>
      </c>
      <c r="F10">
        <v>77</v>
      </c>
      <c r="G10">
        <v>339</v>
      </c>
    </row>
    <row r="11" spans="1:7" x14ac:dyDescent="0.25">
      <c r="A11" t="s">
        <v>17</v>
      </c>
      <c r="B11">
        <v>56</v>
      </c>
      <c r="C11">
        <v>37</v>
      </c>
      <c r="D11">
        <v>76</v>
      </c>
      <c r="E11">
        <v>97</v>
      </c>
      <c r="F11">
        <v>71</v>
      </c>
      <c r="G11">
        <v>337</v>
      </c>
    </row>
    <row r="12" spans="1:7" x14ac:dyDescent="0.25">
      <c r="A12" t="s">
        <v>8</v>
      </c>
      <c r="B12">
        <v>47</v>
      </c>
      <c r="C12">
        <v>71</v>
      </c>
      <c r="D12">
        <v>94</v>
      </c>
      <c r="E12">
        <v>53</v>
      </c>
      <c r="F12">
        <v>59</v>
      </c>
      <c r="G12">
        <v>324</v>
      </c>
    </row>
    <row r="13" spans="1:7" x14ac:dyDescent="0.25">
      <c r="A13" t="s">
        <v>0</v>
      </c>
      <c r="B13">
        <v>51</v>
      </c>
      <c r="C13">
        <v>96</v>
      </c>
      <c r="D13">
        <v>36</v>
      </c>
      <c r="E13">
        <v>41</v>
      </c>
      <c r="F13">
        <v>96</v>
      </c>
      <c r="G13">
        <v>320</v>
      </c>
    </row>
    <row r="14" spans="1:7" x14ac:dyDescent="0.25">
      <c r="A14" t="s">
        <v>13</v>
      </c>
      <c r="B14">
        <v>85</v>
      </c>
      <c r="C14">
        <v>64</v>
      </c>
      <c r="D14">
        <v>48</v>
      </c>
      <c r="E14">
        <v>35</v>
      </c>
      <c r="F14">
        <v>88</v>
      </c>
      <c r="G14">
        <v>320</v>
      </c>
    </row>
    <row r="15" spans="1:7" x14ac:dyDescent="0.25">
      <c r="A15" t="s">
        <v>14</v>
      </c>
      <c r="B15">
        <v>60</v>
      </c>
      <c r="C15">
        <v>49</v>
      </c>
      <c r="D15">
        <v>37</v>
      </c>
      <c r="E15">
        <v>79</v>
      </c>
      <c r="F15">
        <v>88</v>
      </c>
      <c r="G15">
        <v>313</v>
      </c>
    </row>
    <row r="16" spans="1:7" x14ac:dyDescent="0.25">
      <c r="A16" t="s">
        <v>11</v>
      </c>
      <c r="B16">
        <v>60</v>
      </c>
      <c r="C16">
        <v>63</v>
      </c>
      <c r="D16">
        <v>66</v>
      </c>
      <c r="E16">
        <v>73</v>
      </c>
      <c r="F16">
        <v>49</v>
      </c>
      <c r="G16">
        <v>311</v>
      </c>
    </row>
    <row r="17" spans="1:7" x14ac:dyDescent="0.25">
      <c r="A17" t="s">
        <v>10</v>
      </c>
      <c r="B17">
        <v>51</v>
      </c>
      <c r="C17">
        <v>38</v>
      </c>
      <c r="D17">
        <v>38</v>
      </c>
      <c r="E17">
        <v>76</v>
      </c>
      <c r="F17">
        <v>91</v>
      </c>
      <c r="G17">
        <v>294</v>
      </c>
    </row>
    <row r="18" spans="1:7" x14ac:dyDescent="0.25">
      <c r="A18" t="s">
        <v>5</v>
      </c>
      <c r="B18">
        <v>49</v>
      </c>
      <c r="C18">
        <v>44</v>
      </c>
      <c r="D18">
        <v>52</v>
      </c>
      <c r="E18">
        <v>45</v>
      </c>
      <c r="F18">
        <v>99</v>
      </c>
      <c r="G18">
        <v>289</v>
      </c>
    </row>
    <row r="19" spans="1:7" x14ac:dyDescent="0.25">
      <c r="A19" t="s">
        <v>16</v>
      </c>
      <c r="B19">
        <v>83</v>
      </c>
      <c r="C19">
        <v>46</v>
      </c>
      <c r="D19">
        <v>50</v>
      </c>
      <c r="E19">
        <v>53</v>
      </c>
      <c r="F19">
        <v>54</v>
      </c>
      <c r="G19">
        <v>286</v>
      </c>
    </row>
    <row r="20" spans="1:7" x14ac:dyDescent="0.25">
      <c r="A20" t="s">
        <v>12</v>
      </c>
      <c r="B20">
        <v>70</v>
      </c>
      <c r="C20">
        <v>43</v>
      </c>
      <c r="D20">
        <v>66</v>
      </c>
      <c r="E20">
        <v>46</v>
      </c>
      <c r="F20">
        <v>35</v>
      </c>
      <c r="G20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Sheet</vt:lpstr>
      <vt:lpstr>Duplicate Sheet</vt:lpstr>
      <vt:lpstr>Third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</dc:creator>
  <cp:lastModifiedBy>NATIONAL</cp:lastModifiedBy>
  <cp:lastPrinted>2020-03-06T07:12:11Z</cp:lastPrinted>
  <dcterms:created xsi:type="dcterms:W3CDTF">2020-03-06T06:51:42Z</dcterms:created>
  <dcterms:modified xsi:type="dcterms:W3CDTF">2020-03-06T07:53:39Z</dcterms:modified>
</cp:coreProperties>
</file>