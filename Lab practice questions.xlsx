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gam BCA\"/>
    </mc:Choice>
  </mc:AlternateContent>
  <xr:revisionPtr revIDLastSave="0" documentId="13_ncr:1_{7C447811-C70F-4624-B306-2C2E35FB6531}" xr6:coauthVersionLast="45" xr6:coauthVersionMax="45" xr10:uidLastSave="{00000000-0000-0000-0000-000000000000}"/>
  <bookViews>
    <workbookView xWindow="-120" yWindow="-120" windowWidth="20730" windowHeight="11160" xr2:uid="{D16A6203-D4A6-4938-804A-5F1DB0A69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6" i="1" l="1"/>
  <c r="F18" i="1"/>
  <c r="F20" i="1"/>
  <c r="F21" i="1"/>
  <c r="F22" i="1"/>
  <c r="F23" i="1"/>
  <c r="F24" i="1"/>
  <c r="F25" i="1"/>
  <c r="F27" i="1"/>
  <c r="E18" i="1" l="1"/>
  <c r="H73" i="1"/>
  <c r="H74" i="1"/>
  <c r="H75" i="1"/>
  <c r="H76" i="1"/>
  <c r="H77" i="1"/>
  <c r="H78" i="1"/>
  <c r="H79" i="1"/>
  <c r="H80" i="1"/>
  <c r="H81" i="1"/>
  <c r="H82" i="1"/>
  <c r="H72" i="1"/>
  <c r="G73" i="1"/>
  <c r="G74" i="1"/>
  <c r="G75" i="1"/>
  <c r="G76" i="1"/>
  <c r="G77" i="1"/>
  <c r="G78" i="1"/>
  <c r="G79" i="1"/>
  <c r="G80" i="1"/>
  <c r="G81" i="1"/>
  <c r="G82" i="1"/>
  <c r="G72" i="1"/>
  <c r="F73" i="1"/>
  <c r="F74" i="1"/>
  <c r="F75" i="1"/>
  <c r="F76" i="1"/>
  <c r="F77" i="1"/>
  <c r="F78" i="1"/>
  <c r="F79" i="1"/>
  <c r="F80" i="1"/>
  <c r="F81" i="1"/>
  <c r="F82" i="1"/>
  <c r="F72" i="1"/>
  <c r="E73" i="1"/>
  <c r="E74" i="1"/>
  <c r="E75" i="1"/>
  <c r="E76" i="1"/>
  <c r="E77" i="1"/>
  <c r="E78" i="1"/>
  <c r="E79" i="1"/>
  <c r="E80" i="1"/>
  <c r="E81" i="1"/>
  <c r="E82" i="1"/>
  <c r="E72" i="1"/>
  <c r="H45" i="1"/>
  <c r="H46" i="1"/>
  <c r="H47" i="1"/>
  <c r="H48" i="1"/>
  <c r="H49" i="1"/>
  <c r="H50" i="1"/>
  <c r="H51" i="1"/>
  <c r="H52" i="1"/>
  <c r="H53" i="1"/>
  <c r="H54" i="1"/>
  <c r="F46" i="1"/>
  <c r="F47" i="1"/>
  <c r="F48" i="1"/>
  <c r="F49" i="1"/>
  <c r="F50" i="1"/>
  <c r="F51" i="1"/>
  <c r="F52" i="1"/>
  <c r="F53" i="1"/>
  <c r="F54" i="1"/>
  <c r="F45" i="1"/>
  <c r="G46" i="1"/>
  <c r="G47" i="1"/>
  <c r="G48" i="1"/>
  <c r="G49" i="1"/>
  <c r="G50" i="1"/>
  <c r="G51" i="1"/>
  <c r="G52" i="1"/>
  <c r="G53" i="1"/>
  <c r="G54" i="1"/>
  <c r="G45" i="1"/>
  <c r="E46" i="1"/>
  <c r="E47" i="1"/>
  <c r="E48" i="1"/>
  <c r="E49" i="1"/>
  <c r="E50" i="1"/>
  <c r="E51" i="1"/>
  <c r="E52" i="1"/>
  <c r="E53" i="1"/>
  <c r="E54" i="1"/>
  <c r="E45" i="1"/>
  <c r="D46" i="1"/>
  <c r="D47" i="1"/>
  <c r="D48" i="1"/>
  <c r="D49" i="1"/>
  <c r="D50" i="1"/>
  <c r="D51" i="1"/>
  <c r="D52" i="1"/>
  <c r="D53" i="1"/>
  <c r="D54" i="1"/>
  <c r="D45" i="1"/>
  <c r="D28" i="1"/>
  <c r="C28" i="1"/>
  <c r="E19" i="1"/>
  <c r="F19" i="1" s="1"/>
  <c r="E20" i="1"/>
  <c r="E21" i="1"/>
  <c r="E22" i="1"/>
  <c r="E23" i="1"/>
  <c r="E24" i="1"/>
  <c r="E25" i="1"/>
  <c r="E26" i="1"/>
  <c r="E27" i="1"/>
  <c r="C4" i="1"/>
  <c r="C5" i="1"/>
  <c r="C6" i="1"/>
  <c r="C7" i="1"/>
  <c r="C8" i="1"/>
  <c r="C9" i="1"/>
  <c r="C10" i="1"/>
  <c r="C3" i="1"/>
  <c r="E28" i="1" l="1"/>
</calcChain>
</file>

<file path=xl/sharedStrings.xml><?xml version="1.0" encoding="utf-8"?>
<sst xmlns="http://schemas.openxmlformats.org/spreadsheetml/2006/main" count="108" uniqueCount="101">
  <si>
    <t>Name</t>
  </si>
  <si>
    <t>Age</t>
  </si>
  <si>
    <t>Group</t>
  </si>
  <si>
    <t>Anand</t>
  </si>
  <si>
    <t>Sumi</t>
  </si>
  <si>
    <t>Shruti</t>
  </si>
  <si>
    <t>Milan</t>
  </si>
  <si>
    <t>Raju</t>
  </si>
  <si>
    <t>Suresh</t>
  </si>
  <si>
    <t>Mina</t>
  </si>
  <si>
    <t>Sita</t>
  </si>
  <si>
    <t>upto 5 yrs</t>
  </si>
  <si>
    <t>Infant</t>
  </si>
  <si>
    <t>5yrs-16yrs</t>
  </si>
  <si>
    <t>Child</t>
  </si>
  <si>
    <t>16yrs-25yrs</t>
  </si>
  <si>
    <t>Young</t>
  </si>
  <si>
    <t>25 Above</t>
  </si>
  <si>
    <t>Adult</t>
  </si>
  <si>
    <t>1. From the given data, write what age group the people belong to.</t>
  </si>
  <si>
    <t>2. The excel consists of record of marks of first unit test and second unit test of few students in a class. Calculate the following:</t>
  </si>
  <si>
    <t>S.N.</t>
  </si>
  <si>
    <t>Student Name</t>
  </si>
  <si>
    <t>Unit 1</t>
  </si>
  <si>
    <t>Unit 2</t>
  </si>
  <si>
    <t>Marks</t>
  </si>
  <si>
    <t>Total</t>
  </si>
  <si>
    <t>Remarks</t>
  </si>
  <si>
    <t>Mina Shahi</t>
  </si>
  <si>
    <t>Sujan Shrestha</t>
  </si>
  <si>
    <t>Rakesh Gautam</t>
  </si>
  <si>
    <t>Sunita Karki</t>
  </si>
  <si>
    <t>Richa Gurung</t>
  </si>
  <si>
    <t>Binod Khanal</t>
  </si>
  <si>
    <t>Minu Joshi</t>
  </si>
  <si>
    <t>Kala Rai</t>
  </si>
  <si>
    <t>Govinda Karki</t>
  </si>
  <si>
    <t>Sheetal Karn</t>
  </si>
  <si>
    <t>Average marks</t>
  </si>
  <si>
    <t>i. Calculate the average marks of unit test 1 and unit test 2.</t>
  </si>
  <si>
    <t xml:space="preserve">ii. Calculate the total marks such that it has sum of 60% of maximum and 40% of minimum marks obtained by each student. </t>
  </si>
  <si>
    <t>iii. In remark column, show the following results:</t>
  </si>
  <si>
    <t>if marks in any one test is 0 or total&lt;50, show "Witheld"</t>
  </si>
  <si>
    <t>otherwise show "Qualified"</t>
  </si>
  <si>
    <t>3. Calculate the following:</t>
  </si>
  <si>
    <t>ii. Calculate the average basic salary.</t>
  </si>
  <si>
    <t>Basic salary</t>
  </si>
  <si>
    <t>HRA</t>
  </si>
  <si>
    <t>PF</t>
  </si>
  <si>
    <t>Ram</t>
  </si>
  <si>
    <t>Shyam</t>
  </si>
  <si>
    <t>Hari</t>
  </si>
  <si>
    <t>Govinda</t>
  </si>
  <si>
    <t>Krishna</t>
  </si>
  <si>
    <t>Ganga</t>
  </si>
  <si>
    <t>Laxmi</t>
  </si>
  <si>
    <t>Parvati</t>
  </si>
  <si>
    <t>Radha</t>
  </si>
  <si>
    <t>Nidhi</t>
  </si>
  <si>
    <t>i. If basic salary is less than or equal to 5000, then HRA(House Rental Allowance) will be 20% and PF will be 10% of basic salary. If basic salary is greater than 5000 but less than or equal to 10000, then HRA will be 15% and PF will be 8% of basic salary, otherwise HRA will be 5000 and PF will be 6.5% of basic salary.</t>
  </si>
  <si>
    <t>Taxable Amount</t>
  </si>
  <si>
    <t>Tax</t>
  </si>
  <si>
    <t>Yearly Income</t>
  </si>
  <si>
    <t>iii. Calculate the yearly income( Basic Salary+HRA-PF) of every staff.</t>
  </si>
  <si>
    <t>iv. Calculate the taxable amount (Taxable amount=Yearly income of (basic salary +HRA-PF)-Tax exemption). Tax exemption=15000</t>
  </si>
  <si>
    <t>v. Calculate the annual tax on the basis of the following conditions:</t>
  </si>
  <si>
    <t>If taxable amount&lt;=80000, 15% of taxable amount.</t>
  </si>
  <si>
    <t>If taxable amount&gt;80000, 15% of 80000+25% of exceeded amount.</t>
  </si>
  <si>
    <t>3. Calculate the billing amount of electricity:</t>
  </si>
  <si>
    <t>Minimum amount is Rs 100 upto 20 units.</t>
  </si>
  <si>
    <t>Rs 8 per unit for 20 to 100 units.</t>
  </si>
  <si>
    <t>Rs 12/unit for above 100 units.</t>
  </si>
  <si>
    <t>Biiling for electricity</t>
  </si>
  <si>
    <t>Customer ID</t>
  </si>
  <si>
    <t>Last Month reading</t>
  </si>
  <si>
    <t>Current Month reading</t>
  </si>
  <si>
    <t>Total Amount</t>
  </si>
  <si>
    <t xml:space="preserve">Units consumed </t>
  </si>
  <si>
    <t>Amount</t>
  </si>
  <si>
    <t>SC100</t>
  </si>
  <si>
    <t>SC101</t>
  </si>
  <si>
    <t>SC102</t>
  </si>
  <si>
    <t>SC103</t>
  </si>
  <si>
    <t>SC104</t>
  </si>
  <si>
    <t>SC105</t>
  </si>
  <si>
    <t>SC106</t>
  </si>
  <si>
    <t>SC107</t>
  </si>
  <si>
    <t>SC108</t>
  </si>
  <si>
    <t>SC109</t>
  </si>
  <si>
    <t>SC110</t>
  </si>
  <si>
    <t>Bhanu</t>
  </si>
  <si>
    <t>Chandra</t>
  </si>
  <si>
    <t>Kundan</t>
  </si>
  <si>
    <t>Anjali</t>
  </si>
  <si>
    <t>Dipak</t>
  </si>
  <si>
    <t>Ansu</t>
  </si>
  <si>
    <t>Sabita</t>
  </si>
  <si>
    <t>Puspak</t>
  </si>
  <si>
    <t>Shiva</t>
  </si>
  <si>
    <t>5% tax on amount</t>
  </si>
  <si>
    <t>if marks obtained in both tests is 0 or if total&lt;40, show "Not Qualified"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</si>
</sst>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16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/>
    <xf numFmtId="0" fontId="0" fillId="0" borderId="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5" xfId="0" applyBorder="1" applyAlignment="1">
      <alignment horizontal="right"/>
    </xf>
    <xf numFmtId="0" fontId="0" fillId="2" borderId="0" xfId="0" applyFill="1"/>
    <xf numFmtId="0" fontId="0" fillId="2" borderId="0" xfId="0" applyFill="1" applyAlignment="1"/>
    <xf numFmtId="0" fontId="0" fillId="0" borderId="22" xfId="0" applyBorder="1"/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left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7204-68A3-44EA-B4F5-0283B83B0F5D}">
  <dimension ref="A1:M82"/>
  <sheetViews>
    <sheetView tabSelected="1" topLeftCell="A43" zoomScaleNormal="100" workbookViewId="0">
      <selection activeCell="H45" sqref="H45"/>
    </sheetView>
  </sheetViews>
  <sheetFormatPr defaultRowHeight="15" x14ac:dyDescent="0.25"/>
  <cols>
    <col min="1" max="1" width="10.140625" customWidth="1"/>
    <col min="2" max="2" width="13.85546875" bestFit="1" customWidth="1"/>
    <col min="3" max="3" width="12.85546875" bestFit="1" customWidth="1"/>
    <col min="4" max="4" width="14.28515625" customWidth="1"/>
    <col min="5" max="5" width="14.140625" customWidth="1"/>
    <col min="6" max="6" width="13.42578125" customWidth="1"/>
    <col min="7" max="7" width="15.5703125" bestFit="1" customWidth="1"/>
  </cols>
  <sheetData>
    <row r="1" spans="1:13" x14ac:dyDescent="0.25">
      <c r="A1" s="27" t="s">
        <v>19</v>
      </c>
      <c r="B1" s="27"/>
      <c r="C1" s="27"/>
      <c r="D1" s="27"/>
      <c r="E1" s="27"/>
      <c r="F1" s="27"/>
      <c r="G1" s="27"/>
    </row>
    <row r="2" spans="1:13" ht="15.75" thickBot="1" x14ac:dyDescent="0.3">
      <c r="A2" t="s">
        <v>0</v>
      </c>
      <c r="B2" t="s">
        <v>1</v>
      </c>
      <c r="C2" t="s">
        <v>2</v>
      </c>
    </row>
    <row r="3" spans="1:13" ht="15.75" thickBot="1" x14ac:dyDescent="0.3">
      <c r="A3" t="s">
        <v>3</v>
      </c>
      <c r="B3">
        <v>31</v>
      </c>
      <c r="C3" t="str">
        <f>IF(B3&lt;=5,"Infant",IF(B3&lt;=16,"Child",IF(B3&lt;=25,"Young",IF(B3&gt;25,"Adult"))))</f>
        <v>Adult</v>
      </c>
      <c r="E3" s="30" t="s">
        <v>1</v>
      </c>
      <c r="F3" s="31"/>
    </row>
    <row r="4" spans="1:13" x14ac:dyDescent="0.25">
      <c r="A4" t="s">
        <v>4</v>
      </c>
      <c r="B4">
        <v>20</v>
      </c>
      <c r="C4" t="str">
        <f t="shared" ref="C4:C10" si="0">IF(B4&lt;=5,"Infant",IF(B4&lt;=16,"Child",IF(B4&lt;=25,"Young",IF(B4&gt;25,"Adult"))))</f>
        <v>Young</v>
      </c>
      <c r="E4" s="7" t="s">
        <v>11</v>
      </c>
      <c r="F4" s="8" t="s">
        <v>12</v>
      </c>
    </row>
    <row r="5" spans="1:13" x14ac:dyDescent="0.25">
      <c r="A5" t="s">
        <v>5</v>
      </c>
      <c r="B5">
        <v>4</v>
      </c>
      <c r="C5" t="str">
        <f t="shared" si="0"/>
        <v>Infant</v>
      </c>
      <c r="E5" s="4" t="s">
        <v>13</v>
      </c>
      <c r="F5" s="3" t="s">
        <v>14</v>
      </c>
    </row>
    <row r="6" spans="1:13" x14ac:dyDescent="0.25">
      <c r="A6" t="s">
        <v>6</v>
      </c>
      <c r="B6">
        <v>17</v>
      </c>
      <c r="C6" t="str">
        <f t="shared" si="0"/>
        <v>Young</v>
      </c>
      <c r="E6" s="2" t="s">
        <v>15</v>
      </c>
      <c r="F6" s="3" t="s">
        <v>16</v>
      </c>
    </row>
    <row r="7" spans="1:13" ht="15.75" thickBot="1" x14ac:dyDescent="0.3">
      <c r="A7" t="s">
        <v>7</v>
      </c>
      <c r="B7">
        <v>2</v>
      </c>
      <c r="C7" t="str">
        <f t="shared" si="0"/>
        <v>Infant</v>
      </c>
      <c r="E7" s="5" t="s">
        <v>17</v>
      </c>
      <c r="F7" s="6" t="s">
        <v>18</v>
      </c>
    </row>
    <row r="8" spans="1:13" x14ac:dyDescent="0.25">
      <c r="A8" t="s">
        <v>8</v>
      </c>
      <c r="B8">
        <v>12</v>
      </c>
      <c r="C8" t="str">
        <f t="shared" si="0"/>
        <v>Child</v>
      </c>
    </row>
    <row r="9" spans="1:13" x14ac:dyDescent="0.25">
      <c r="A9" t="s">
        <v>9</v>
      </c>
      <c r="B9">
        <v>16</v>
      </c>
      <c r="C9" t="str">
        <f t="shared" si="0"/>
        <v>Child</v>
      </c>
    </row>
    <row r="10" spans="1:13" ht="15.75" thickBot="1" x14ac:dyDescent="0.3">
      <c r="A10" t="s">
        <v>10</v>
      </c>
      <c r="B10">
        <v>78</v>
      </c>
      <c r="C10" t="str">
        <f t="shared" si="0"/>
        <v>Adult</v>
      </c>
    </row>
    <row r="11" spans="1:13" ht="15.75" thickBot="1" x14ac:dyDescent="0.3">
      <c r="B11" s="11"/>
    </row>
    <row r="13" spans="1:13" x14ac:dyDescent="0.25">
      <c r="A13" s="27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1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15.75" thickBot="1" x14ac:dyDescent="0.3"/>
    <row r="16" spans="1:13" x14ac:dyDescent="0.25">
      <c r="A16" s="32" t="s">
        <v>21</v>
      </c>
      <c r="B16" s="32" t="s">
        <v>22</v>
      </c>
      <c r="C16" s="32" t="s">
        <v>25</v>
      </c>
      <c r="D16" s="33"/>
      <c r="E16" s="33"/>
      <c r="F16" s="34"/>
    </row>
    <row r="17" spans="1:10" ht="15.75" thickBot="1" x14ac:dyDescent="0.3">
      <c r="A17" s="35"/>
      <c r="B17" s="35"/>
      <c r="C17" s="13" t="s">
        <v>23</v>
      </c>
      <c r="D17" s="14" t="s">
        <v>24</v>
      </c>
      <c r="E17" s="14" t="s">
        <v>26</v>
      </c>
      <c r="F17" s="15" t="s">
        <v>27</v>
      </c>
    </row>
    <row r="18" spans="1:10" ht="15.75" thickBot="1" x14ac:dyDescent="0.3">
      <c r="A18" s="16">
        <v>1</v>
      </c>
      <c r="B18" s="17" t="s">
        <v>28</v>
      </c>
      <c r="C18" s="17">
        <v>85</v>
      </c>
      <c r="D18" s="17">
        <v>33</v>
      </c>
      <c r="E18" s="17">
        <f>SUM(C18:D18)</f>
        <v>118</v>
      </c>
      <c r="F18" s="18" t="str">
        <f>IF(E18&lt;40,"Not qualified",IF(C18&lt;50,"Witheld",IF(D18&lt;50,"Witheld",IF(C18&gt;50,"Qualified",IF(D18&gt;50,"Qualified")))))</f>
        <v>Witheld</v>
      </c>
    </row>
    <row r="19" spans="1:10" ht="15.75" thickBot="1" x14ac:dyDescent="0.3">
      <c r="A19" s="2">
        <v>2</v>
      </c>
      <c r="B19" s="1" t="s">
        <v>29</v>
      </c>
      <c r="C19" s="1">
        <v>58</v>
      </c>
      <c r="D19" s="1">
        <v>16</v>
      </c>
      <c r="E19" s="17">
        <f t="shared" ref="E19:E28" si="1">SUM(C19:D19)</f>
        <v>74</v>
      </c>
      <c r="F19" s="18" t="str">
        <f t="shared" ref="F19:F27" si="2">IF(E19&lt;40,"Not qualified",IF(C19&lt;50,"Witheld",IF(D19&lt;50,"Witheld",IF(C19&gt;50,"Qualified",IF(D19&gt;50,"Qualified")))))</f>
        <v>Witheld</v>
      </c>
    </row>
    <row r="20" spans="1:10" ht="15.75" thickBot="1" x14ac:dyDescent="0.3">
      <c r="A20" s="2">
        <v>3</v>
      </c>
      <c r="B20" s="1" t="s">
        <v>30</v>
      </c>
      <c r="C20" s="1">
        <v>23</v>
      </c>
      <c r="D20" s="1">
        <v>74</v>
      </c>
      <c r="E20" s="17">
        <f t="shared" si="1"/>
        <v>97</v>
      </c>
      <c r="F20" s="18" t="str">
        <f t="shared" si="2"/>
        <v>Witheld</v>
      </c>
    </row>
    <row r="21" spans="1:10" ht="15.75" thickBot="1" x14ac:dyDescent="0.3">
      <c r="A21" s="2">
        <v>4</v>
      </c>
      <c r="B21" s="1" t="s">
        <v>31</v>
      </c>
      <c r="C21" s="1">
        <v>86</v>
      </c>
      <c r="D21" s="1">
        <v>44</v>
      </c>
      <c r="E21" s="17">
        <f t="shared" si="1"/>
        <v>130</v>
      </c>
      <c r="F21" s="18" t="str">
        <f t="shared" si="2"/>
        <v>Witheld</v>
      </c>
    </row>
    <row r="22" spans="1:10" ht="15.75" thickBot="1" x14ac:dyDescent="0.3">
      <c r="A22" s="2">
        <v>5</v>
      </c>
      <c r="B22" s="1" t="s">
        <v>32</v>
      </c>
      <c r="C22" s="1">
        <v>58</v>
      </c>
      <c r="D22" s="1">
        <v>10</v>
      </c>
      <c r="E22" s="17">
        <f t="shared" si="1"/>
        <v>68</v>
      </c>
      <c r="F22" s="18" t="str">
        <f t="shared" si="2"/>
        <v>Witheld</v>
      </c>
    </row>
    <row r="23" spans="1:10" ht="15.75" thickBot="1" x14ac:dyDescent="0.3">
      <c r="A23" s="2">
        <v>6</v>
      </c>
      <c r="B23" s="1" t="s">
        <v>33</v>
      </c>
      <c r="C23" s="1">
        <v>62</v>
      </c>
      <c r="D23" s="1">
        <v>12</v>
      </c>
      <c r="E23" s="17">
        <f t="shared" si="1"/>
        <v>74</v>
      </c>
      <c r="F23" s="18" t="str">
        <f t="shared" si="2"/>
        <v>Witheld</v>
      </c>
    </row>
    <row r="24" spans="1:10" ht="15.75" thickBot="1" x14ac:dyDescent="0.3">
      <c r="A24" s="2">
        <v>7</v>
      </c>
      <c r="B24" s="1" t="s">
        <v>34</v>
      </c>
      <c r="C24" s="1">
        <v>16</v>
      </c>
      <c r="D24" s="1">
        <v>24</v>
      </c>
      <c r="E24" s="17">
        <f t="shared" si="1"/>
        <v>40</v>
      </c>
      <c r="F24" s="18" t="str">
        <f t="shared" si="2"/>
        <v>Witheld</v>
      </c>
    </row>
    <row r="25" spans="1:10" ht="15.75" thickBot="1" x14ac:dyDescent="0.3">
      <c r="A25" s="2">
        <v>8</v>
      </c>
      <c r="B25" s="1" t="s">
        <v>35</v>
      </c>
      <c r="C25" s="1">
        <v>41</v>
      </c>
      <c r="D25" s="1">
        <v>77</v>
      </c>
      <c r="E25" s="17">
        <f t="shared" si="1"/>
        <v>118</v>
      </c>
      <c r="F25" s="18" t="str">
        <f t="shared" si="2"/>
        <v>Witheld</v>
      </c>
    </row>
    <row r="26" spans="1:10" ht="15.75" thickBot="1" x14ac:dyDescent="0.3">
      <c r="A26" s="2">
        <v>9</v>
      </c>
      <c r="B26" s="1" t="s">
        <v>36</v>
      </c>
      <c r="C26" s="1">
        <v>31</v>
      </c>
      <c r="D26" s="1">
        <v>60</v>
      </c>
      <c r="E26" s="17">
        <f t="shared" si="1"/>
        <v>91</v>
      </c>
      <c r="F26" s="18" t="str">
        <f>IF(E26&lt;40,"Not qualified",IF(C26&lt;50,"Witheld",IF(D26&lt;50,"Witheld",IF(C26&gt;50,"Qualified",IF(D26&gt;50,"Qualified")))))</f>
        <v>Witheld</v>
      </c>
    </row>
    <row r="27" spans="1:10" ht="15.75" thickBot="1" x14ac:dyDescent="0.3">
      <c r="A27" s="2">
        <v>10</v>
      </c>
      <c r="B27" s="1" t="s">
        <v>37</v>
      </c>
      <c r="C27" s="1">
        <v>76</v>
      </c>
      <c r="D27" s="1">
        <v>85</v>
      </c>
      <c r="E27" s="17">
        <f t="shared" si="1"/>
        <v>161</v>
      </c>
      <c r="F27" s="18" t="str">
        <f t="shared" si="2"/>
        <v>Qualified</v>
      </c>
    </row>
    <row r="28" spans="1:10" ht="15.75" thickBot="1" x14ac:dyDescent="0.3">
      <c r="A28" s="5"/>
      <c r="B28" s="12" t="s">
        <v>38</v>
      </c>
      <c r="C28" s="19">
        <f>AVERAGE(C18:C27)</f>
        <v>53.6</v>
      </c>
      <c r="D28" s="19">
        <f>AVERAGE(D18:D27)</f>
        <v>43.5</v>
      </c>
      <c r="E28" s="17">
        <f t="shared" si="1"/>
        <v>97.1</v>
      </c>
      <c r="F28" s="6"/>
    </row>
    <row r="30" spans="1:10" x14ac:dyDescent="0.25">
      <c r="A30" s="27" t="s">
        <v>39</v>
      </c>
      <c r="B30" s="27"/>
      <c r="C30" s="27"/>
      <c r="D30" s="27"/>
      <c r="E30" s="27"/>
      <c r="F30" s="27"/>
      <c r="G30" s="20"/>
      <c r="H30" s="20"/>
      <c r="I30" s="20"/>
      <c r="J30" s="20"/>
    </row>
    <row r="31" spans="1:10" x14ac:dyDescent="0.25">
      <c r="A31" s="27" t="s">
        <v>40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27" t="s">
        <v>41</v>
      </c>
      <c r="B32" s="27"/>
      <c r="C32" s="27"/>
      <c r="D32" s="27"/>
      <c r="E32" s="21"/>
      <c r="F32" s="21"/>
      <c r="G32" s="20"/>
      <c r="H32" s="20"/>
      <c r="I32" s="20"/>
      <c r="J32" s="20"/>
    </row>
    <row r="33" spans="1:12" x14ac:dyDescent="0.25">
      <c r="A33" s="28" t="s">
        <v>100</v>
      </c>
      <c r="B33" s="28"/>
      <c r="C33" s="28"/>
      <c r="D33" s="28"/>
      <c r="E33" s="28"/>
      <c r="F33" s="21"/>
      <c r="G33" s="20"/>
      <c r="H33" s="20"/>
      <c r="I33" s="20"/>
      <c r="J33" s="20"/>
    </row>
    <row r="34" spans="1:12" x14ac:dyDescent="0.25">
      <c r="A34" s="28" t="s">
        <v>42</v>
      </c>
      <c r="B34" s="28"/>
      <c r="C34" s="28"/>
      <c r="D34" s="28"/>
      <c r="E34" s="28"/>
      <c r="F34" s="21"/>
      <c r="G34" s="20"/>
      <c r="H34" s="20"/>
      <c r="I34" s="20"/>
      <c r="J34" s="20"/>
    </row>
    <row r="35" spans="1:12" x14ac:dyDescent="0.25">
      <c r="A35" s="28" t="s">
        <v>43</v>
      </c>
      <c r="B35" s="28"/>
      <c r="C35" s="28"/>
      <c r="D35" s="21"/>
      <c r="E35" s="21"/>
      <c r="F35" s="21"/>
      <c r="G35" s="20"/>
      <c r="H35" s="20"/>
      <c r="I35" s="20"/>
      <c r="J35" s="20"/>
    </row>
    <row r="36" spans="1:12" x14ac:dyDescent="0.25">
      <c r="A36" s="10"/>
      <c r="B36" s="10"/>
      <c r="C36" s="10"/>
      <c r="D36" s="10"/>
      <c r="E36" s="10"/>
      <c r="F36" s="10"/>
    </row>
    <row r="38" spans="1:12" x14ac:dyDescent="0.25">
      <c r="A38" s="27" t="s">
        <v>44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ht="15" customHeight="1" x14ac:dyDescent="0.25">
      <c r="A39" s="29" t="s">
        <v>59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 x14ac:dyDescent="0.25">
      <c r="A42" s="27" t="s">
        <v>45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4" spans="1:12" x14ac:dyDescent="0.25">
      <c r="A44" s="1" t="s">
        <v>21</v>
      </c>
      <c r="B44" s="1" t="s">
        <v>0</v>
      </c>
      <c r="C44" s="1" t="s">
        <v>46</v>
      </c>
      <c r="D44" s="1" t="s">
        <v>47</v>
      </c>
      <c r="E44" s="1" t="s">
        <v>48</v>
      </c>
      <c r="F44" s="1" t="s">
        <v>62</v>
      </c>
      <c r="G44" s="1" t="s">
        <v>60</v>
      </c>
      <c r="H44" s="1" t="s">
        <v>61</v>
      </c>
    </row>
    <row r="45" spans="1:12" x14ac:dyDescent="0.25">
      <c r="A45" s="1">
        <v>1</v>
      </c>
      <c r="B45" s="1" t="s">
        <v>49</v>
      </c>
      <c r="C45" s="1">
        <v>8000</v>
      </c>
      <c r="D45" s="1">
        <f>IF(C45&lt;=5000,20/100*C45,IF(C45&lt;=10000,15/100*C45,5000))</f>
        <v>1200</v>
      </c>
      <c r="E45" s="1">
        <f>IF(C45&lt;=5000,10/100*C45,IF(C45&lt;=10000,8/100*C45,IF(C45&gt;10000,6.5/100*C45)))</f>
        <v>640</v>
      </c>
      <c r="F45" s="1">
        <f>(C45+D45-E45)*12</f>
        <v>102720</v>
      </c>
      <c r="G45" s="1">
        <f>F45-15000</f>
        <v>87720</v>
      </c>
      <c r="H45" s="1">
        <f>IF(G45&lt;=80000,15/100*80000,IF(G45&gt;80000,25/100*(G45-80000))+15/100*80000)</f>
        <v>13930</v>
      </c>
    </row>
    <row r="46" spans="1:12" x14ac:dyDescent="0.25">
      <c r="A46" s="1">
        <v>2</v>
      </c>
      <c r="B46" s="1" t="s">
        <v>50</v>
      </c>
      <c r="C46" s="1">
        <v>9000</v>
      </c>
      <c r="D46" s="1">
        <f t="shared" ref="D46:D54" si="3">IF(C46&lt;=5000,20/100*C46,IF(C46&lt;=10000,15/100*C46,5000))</f>
        <v>1350</v>
      </c>
      <c r="E46" s="1">
        <f t="shared" ref="E46:E54" si="4">IF(C46&lt;=5000,10/100*C46,IF(C46&lt;=10000,8/100*C46,IF(C46&gt;10000,6.5/100*C46)))</f>
        <v>720</v>
      </c>
      <c r="F46" s="1">
        <f t="shared" ref="F46:F54" si="5">(C46+D46-E46)*12</f>
        <v>115560</v>
      </c>
      <c r="G46" s="1">
        <f t="shared" ref="G46:G54" si="6">F46-15000</f>
        <v>100560</v>
      </c>
      <c r="H46" s="1">
        <f t="shared" ref="H46:H54" si="7">IF(G46&lt;=80000,15/100*80000,IF(G46&gt;80000,25/100*(G46-80000))+15/100*80000)</f>
        <v>17140</v>
      </c>
    </row>
    <row r="47" spans="1:12" x14ac:dyDescent="0.25">
      <c r="A47" s="1">
        <v>3</v>
      </c>
      <c r="B47" s="1" t="s">
        <v>51</v>
      </c>
      <c r="C47" s="1">
        <v>9500</v>
      </c>
      <c r="D47" s="1">
        <f t="shared" si="3"/>
        <v>1425</v>
      </c>
      <c r="E47" s="1">
        <f t="shared" si="4"/>
        <v>760</v>
      </c>
      <c r="F47" s="1">
        <f t="shared" si="5"/>
        <v>121980</v>
      </c>
      <c r="G47" s="1">
        <f t="shared" si="6"/>
        <v>106980</v>
      </c>
      <c r="H47" s="1">
        <f t="shared" si="7"/>
        <v>18745</v>
      </c>
    </row>
    <row r="48" spans="1:12" x14ac:dyDescent="0.25">
      <c r="A48" s="1">
        <v>4</v>
      </c>
      <c r="B48" s="1" t="s">
        <v>52</v>
      </c>
      <c r="C48" s="1">
        <v>5000</v>
      </c>
      <c r="D48" s="1">
        <f t="shared" si="3"/>
        <v>1000</v>
      </c>
      <c r="E48" s="1">
        <f t="shared" si="4"/>
        <v>500</v>
      </c>
      <c r="F48" s="1">
        <f t="shared" si="5"/>
        <v>66000</v>
      </c>
      <c r="G48" s="1">
        <f t="shared" si="6"/>
        <v>51000</v>
      </c>
      <c r="H48" s="1">
        <f t="shared" si="7"/>
        <v>12000</v>
      </c>
    </row>
    <row r="49" spans="1:10" x14ac:dyDescent="0.25">
      <c r="A49" s="1">
        <v>5</v>
      </c>
      <c r="B49" s="1" t="s">
        <v>53</v>
      </c>
      <c r="C49" s="1">
        <v>12000</v>
      </c>
      <c r="D49" s="1">
        <f t="shared" si="3"/>
        <v>5000</v>
      </c>
      <c r="E49" s="1">
        <f t="shared" si="4"/>
        <v>780</v>
      </c>
      <c r="F49" s="1">
        <f t="shared" si="5"/>
        <v>194640</v>
      </c>
      <c r="G49" s="1">
        <f t="shared" si="6"/>
        <v>179640</v>
      </c>
      <c r="H49" s="1">
        <f t="shared" si="7"/>
        <v>36910</v>
      </c>
    </row>
    <row r="50" spans="1:10" x14ac:dyDescent="0.25">
      <c r="A50" s="1">
        <v>6</v>
      </c>
      <c r="B50" s="1" t="s">
        <v>54</v>
      </c>
      <c r="C50" s="1">
        <v>15000</v>
      </c>
      <c r="D50" s="1">
        <f t="shared" si="3"/>
        <v>5000</v>
      </c>
      <c r="E50" s="1">
        <f t="shared" si="4"/>
        <v>975</v>
      </c>
      <c r="F50" s="1">
        <f t="shared" si="5"/>
        <v>228300</v>
      </c>
      <c r="G50" s="1">
        <f t="shared" si="6"/>
        <v>213300</v>
      </c>
      <c r="H50" s="1">
        <f t="shared" si="7"/>
        <v>45325</v>
      </c>
    </row>
    <row r="51" spans="1:10" x14ac:dyDescent="0.25">
      <c r="A51" s="1">
        <v>7</v>
      </c>
      <c r="B51" s="1" t="s">
        <v>55</v>
      </c>
      <c r="C51" s="1">
        <v>16000</v>
      </c>
      <c r="D51" s="1">
        <f t="shared" si="3"/>
        <v>5000</v>
      </c>
      <c r="E51" s="1">
        <f t="shared" si="4"/>
        <v>1040</v>
      </c>
      <c r="F51" s="1">
        <f t="shared" si="5"/>
        <v>239520</v>
      </c>
      <c r="G51" s="1">
        <f t="shared" si="6"/>
        <v>224520</v>
      </c>
      <c r="H51" s="1">
        <f t="shared" si="7"/>
        <v>48130</v>
      </c>
    </row>
    <row r="52" spans="1:10" x14ac:dyDescent="0.25">
      <c r="A52" s="1">
        <v>8</v>
      </c>
      <c r="B52" s="1" t="s">
        <v>56</v>
      </c>
      <c r="C52" s="1">
        <v>3000</v>
      </c>
      <c r="D52" s="1">
        <f t="shared" si="3"/>
        <v>600</v>
      </c>
      <c r="E52" s="1">
        <f t="shared" si="4"/>
        <v>300</v>
      </c>
      <c r="F52" s="1">
        <f t="shared" si="5"/>
        <v>39600</v>
      </c>
      <c r="G52" s="1">
        <f t="shared" si="6"/>
        <v>24600</v>
      </c>
      <c r="H52" s="1">
        <f t="shared" si="7"/>
        <v>12000</v>
      </c>
    </row>
    <row r="53" spans="1:10" x14ac:dyDescent="0.25">
      <c r="A53" s="1">
        <v>9</v>
      </c>
      <c r="B53" s="1" t="s">
        <v>57</v>
      </c>
      <c r="C53" s="1">
        <v>6000</v>
      </c>
      <c r="D53" s="1">
        <f t="shared" si="3"/>
        <v>900</v>
      </c>
      <c r="E53" s="1">
        <f t="shared" si="4"/>
        <v>480</v>
      </c>
      <c r="F53" s="1">
        <f t="shared" si="5"/>
        <v>77040</v>
      </c>
      <c r="G53" s="1">
        <f t="shared" si="6"/>
        <v>62040</v>
      </c>
      <c r="H53" s="1">
        <f t="shared" si="7"/>
        <v>12000</v>
      </c>
    </row>
    <row r="54" spans="1:10" x14ac:dyDescent="0.25">
      <c r="A54" s="1">
        <v>10</v>
      </c>
      <c r="B54" s="1" t="s">
        <v>58</v>
      </c>
      <c r="C54" s="1">
        <v>4000</v>
      </c>
      <c r="D54" s="1">
        <f t="shared" si="3"/>
        <v>800</v>
      </c>
      <c r="E54" s="1">
        <f t="shared" si="4"/>
        <v>400</v>
      </c>
      <c r="F54" s="1">
        <f t="shared" si="5"/>
        <v>52800</v>
      </c>
      <c r="G54" s="1">
        <f t="shared" si="6"/>
        <v>37800</v>
      </c>
      <c r="H54" s="1">
        <f t="shared" si="7"/>
        <v>12000</v>
      </c>
    </row>
    <row r="58" spans="1:10" x14ac:dyDescent="0.25">
      <c r="A58" s="27" t="s">
        <v>63</v>
      </c>
      <c r="B58" s="27"/>
      <c r="C58" s="27"/>
      <c r="D58" s="27"/>
      <c r="E58" s="27"/>
      <c r="F58" s="27"/>
      <c r="G58" s="27"/>
      <c r="H58" s="27"/>
      <c r="I58" s="27"/>
      <c r="J58" s="27"/>
    </row>
    <row r="59" spans="1:10" x14ac:dyDescent="0.25">
      <c r="A59" s="27" t="s">
        <v>64</v>
      </c>
      <c r="B59" s="27"/>
      <c r="C59" s="27"/>
      <c r="D59" s="27"/>
      <c r="E59" s="27"/>
      <c r="F59" s="27"/>
      <c r="G59" s="27"/>
      <c r="H59" s="27"/>
      <c r="I59" s="27"/>
      <c r="J59" s="27"/>
    </row>
    <row r="60" spans="1:10" x14ac:dyDescent="0.25">
      <c r="A60" s="27" t="s">
        <v>65</v>
      </c>
      <c r="B60" s="27"/>
      <c r="C60" s="27"/>
      <c r="D60" s="27"/>
      <c r="E60" s="27"/>
      <c r="F60" s="27"/>
      <c r="G60" s="27"/>
      <c r="H60" s="27"/>
      <c r="I60" s="27"/>
      <c r="J60" s="27"/>
    </row>
    <row r="61" spans="1:10" x14ac:dyDescent="0.25">
      <c r="A61" s="27" t="s">
        <v>66</v>
      </c>
      <c r="B61" s="27"/>
      <c r="C61" s="27"/>
      <c r="D61" s="27"/>
      <c r="E61" s="27"/>
      <c r="F61" s="27"/>
      <c r="G61" s="27"/>
      <c r="H61" s="27"/>
      <c r="I61" s="27"/>
      <c r="J61" s="27"/>
    </row>
    <row r="62" spans="1:10" x14ac:dyDescent="0.25">
      <c r="A62" s="27" t="s">
        <v>67</v>
      </c>
      <c r="B62" s="27"/>
      <c r="C62" s="27"/>
      <c r="D62" s="27"/>
      <c r="E62" s="27"/>
      <c r="F62" s="27"/>
      <c r="G62" s="27"/>
      <c r="H62" s="27"/>
      <c r="I62" s="27"/>
      <c r="J62" s="27"/>
    </row>
    <row r="65" spans="1:8" x14ac:dyDescent="0.25">
      <c r="A65" s="27" t="s">
        <v>68</v>
      </c>
      <c r="B65" s="27"/>
      <c r="C65" s="27"/>
      <c r="D65" s="27"/>
    </row>
    <row r="66" spans="1:8" x14ac:dyDescent="0.25">
      <c r="A66" s="27" t="s">
        <v>69</v>
      </c>
      <c r="B66" s="27"/>
      <c r="C66" s="27"/>
      <c r="D66" s="27"/>
    </row>
    <row r="67" spans="1:8" x14ac:dyDescent="0.25">
      <c r="A67" s="27" t="s">
        <v>70</v>
      </c>
      <c r="B67" s="27"/>
      <c r="C67" s="27"/>
      <c r="D67" s="20"/>
    </row>
    <row r="68" spans="1:8" x14ac:dyDescent="0.25">
      <c r="A68" s="27" t="s">
        <v>71</v>
      </c>
      <c r="B68" s="27"/>
      <c r="C68" s="27"/>
      <c r="D68" s="20"/>
    </row>
    <row r="69" spans="1:8" ht="15.75" thickBot="1" x14ac:dyDescent="0.3">
      <c r="A69" s="27" t="s">
        <v>99</v>
      </c>
      <c r="B69" s="27"/>
      <c r="C69" s="27"/>
      <c r="D69" s="20"/>
    </row>
    <row r="70" spans="1:8" ht="15.75" thickBot="1" x14ac:dyDescent="0.3">
      <c r="A70" s="36" t="s">
        <v>72</v>
      </c>
      <c r="B70" s="37"/>
      <c r="C70" s="37"/>
      <c r="D70" s="37"/>
      <c r="E70" s="37"/>
      <c r="F70" s="37"/>
      <c r="G70" s="37"/>
      <c r="H70" s="38"/>
    </row>
    <row r="71" spans="1:8" ht="30.75" thickBot="1" x14ac:dyDescent="0.3">
      <c r="A71" s="23" t="s">
        <v>73</v>
      </c>
      <c r="B71" s="24" t="s">
        <v>0</v>
      </c>
      <c r="C71" s="25" t="s">
        <v>74</v>
      </c>
      <c r="D71" s="25" t="s">
        <v>75</v>
      </c>
      <c r="E71" s="25" t="s">
        <v>77</v>
      </c>
      <c r="F71" s="24" t="s">
        <v>78</v>
      </c>
      <c r="G71" s="24" t="s">
        <v>61</v>
      </c>
      <c r="H71" s="26" t="s">
        <v>76</v>
      </c>
    </row>
    <row r="72" spans="1:8" x14ac:dyDescent="0.25">
      <c r="A72" s="7" t="s">
        <v>79</v>
      </c>
      <c r="B72" s="22" t="s">
        <v>90</v>
      </c>
      <c r="C72" s="22">
        <v>6553</v>
      </c>
      <c r="D72" s="22">
        <v>6607</v>
      </c>
      <c r="E72" s="22">
        <f>D72-C72</f>
        <v>54</v>
      </c>
      <c r="F72" s="22">
        <f>IF(E72&lt;=20,100,IF(E72&lt;=100,8*E72,IF(E72&gt;100,12*E72)))</f>
        <v>432</v>
      </c>
      <c r="G72" s="22">
        <f>5/100*F72</f>
        <v>21.6</v>
      </c>
      <c r="H72" s="8">
        <f>F72+G72</f>
        <v>453.6</v>
      </c>
    </row>
    <row r="73" spans="1:8" x14ac:dyDescent="0.25">
      <c r="A73" s="2" t="s">
        <v>80</v>
      </c>
      <c r="B73" s="1" t="s">
        <v>91</v>
      </c>
      <c r="C73" s="1">
        <v>3222</v>
      </c>
      <c r="D73" s="1">
        <v>3255</v>
      </c>
      <c r="E73" s="22">
        <f t="shared" ref="E73:E82" si="8">D73-C73</f>
        <v>33</v>
      </c>
      <c r="F73" s="22">
        <f t="shared" ref="F73:F82" si="9">IF(E73&lt;=20,100,IF(E73&lt;=100,8*E73,IF(E73&gt;100,12*E73)))</f>
        <v>264</v>
      </c>
      <c r="G73" s="22">
        <f t="shared" ref="G73:G82" si="10">5/100*F73</f>
        <v>13.200000000000001</v>
      </c>
      <c r="H73" s="8">
        <f t="shared" ref="H73:H82" si="11">F73+G73</f>
        <v>277.2</v>
      </c>
    </row>
    <row r="74" spans="1:8" x14ac:dyDescent="0.25">
      <c r="A74" s="2" t="s">
        <v>81</v>
      </c>
      <c r="B74" s="1" t="s">
        <v>92</v>
      </c>
      <c r="C74" s="1">
        <v>4535</v>
      </c>
      <c r="D74" s="1">
        <v>4577</v>
      </c>
      <c r="E74" s="22">
        <f t="shared" si="8"/>
        <v>42</v>
      </c>
      <c r="F74" s="22">
        <f t="shared" si="9"/>
        <v>336</v>
      </c>
      <c r="G74" s="22">
        <f t="shared" si="10"/>
        <v>16.8</v>
      </c>
      <c r="H74" s="8">
        <f t="shared" si="11"/>
        <v>352.8</v>
      </c>
    </row>
    <row r="75" spans="1:8" x14ac:dyDescent="0.25">
      <c r="A75" s="2" t="s">
        <v>82</v>
      </c>
      <c r="B75" s="1" t="s">
        <v>93</v>
      </c>
      <c r="C75" s="1">
        <v>5503</v>
      </c>
      <c r="D75" s="1">
        <v>5519</v>
      </c>
      <c r="E75" s="22">
        <f t="shared" si="8"/>
        <v>16</v>
      </c>
      <c r="F75" s="22">
        <f t="shared" si="9"/>
        <v>100</v>
      </c>
      <c r="G75" s="22">
        <f t="shared" si="10"/>
        <v>5</v>
      </c>
      <c r="H75" s="8">
        <f t="shared" si="11"/>
        <v>105</v>
      </c>
    </row>
    <row r="76" spans="1:8" x14ac:dyDescent="0.25">
      <c r="A76" s="2" t="s">
        <v>83</v>
      </c>
      <c r="B76" s="1" t="s">
        <v>94</v>
      </c>
      <c r="C76" s="1">
        <v>1537</v>
      </c>
      <c r="D76" s="1">
        <v>1577</v>
      </c>
      <c r="E76" s="22">
        <f t="shared" si="8"/>
        <v>40</v>
      </c>
      <c r="F76" s="22">
        <f t="shared" si="9"/>
        <v>320</v>
      </c>
      <c r="G76" s="22">
        <f t="shared" si="10"/>
        <v>16</v>
      </c>
      <c r="H76" s="8">
        <f t="shared" si="11"/>
        <v>336</v>
      </c>
    </row>
    <row r="77" spans="1:8" x14ac:dyDescent="0.25">
      <c r="A77" s="2" t="s">
        <v>84</v>
      </c>
      <c r="B77" s="1" t="s">
        <v>95</v>
      </c>
      <c r="C77" s="1">
        <v>3456</v>
      </c>
      <c r="D77" s="1">
        <v>3479</v>
      </c>
      <c r="E77" s="22">
        <f t="shared" si="8"/>
        <v>23</v>
      </c>
      <c r="F77" s="22">
        <f t="shared" si="9"/>
        <v>184</v>
      </c>
      <c r="G77" s="22">
        <f t="shared" si="10"/>
        <v>9.2000000000000011</v>
      </c>
      <c r="H77" s="8">
        <f t="shared" si="11"/>
        <v>193.2</v>
      </c>
    </row>
    <row r="78" spans="1:8" x14ac:dyDescent="0.25">
      <c r="A78" s="2" t="s">
        <v>85</v>
      </c>
      <c r="B78" s="1" t="s">
        <v>9</v>
      </c>
      <c r="C78" s="1">
        <v>2252</v>
      </c>
      <c r="D78" s="1">
        <v>2308</v>
      </c>
      <c r="E78" s="22">
        <f t="shared" si="8"/>
        <v>56</v>
      </c>
      <c r="F78" s="22">
        <f t="shared" si="9"/>
        <v>448</v>
      </c>
      <c r="G78" s="22">
        <f t="shared" si="10"/>
        <v>22.400000000000002</v>
      </c>
      <c r="H78" s="8">
        <f t="shared" si="11"/>
        <v>470.4</v>
      </c>
    </row>
    <row r="79" spans="1:8" x14ac:dyDescent="0.25">
      <c r="A79" s="2" t="s">
        <v>86</v>
      </c>
      <c r="B79" s="1" t="s">
        <v>96</v>
      </c>
      <c r="C79" s="1">
        <v>3690</v>
      </c>
      <c r="D79" s="1">
        <v>3798</v>
      </c>
      <c r="E79" s="22">
        <f t="shared" si="8"/>
        <v>108</v>
      </c>
      <c r="F79" s="22">
        <f t="shared" si="9"/>
        <v>1296</v>
      </c>
      <c r="G79" s="22">
        <f t="shared" si="10"/>
        <v>64.8</v>
      </c>
      <c r="H79" s="8">
        <f t="shared" si="11"/>
        <v>1360.8</v>
      </c>
    </row>
    <row r="80" spans="1:8" x14ac:dyDescent="0.25">
      <c r="A80" s="2" t="s">
        <v>87</v>
      </c>
      <c r="B80" s="1" t="s">
        <v>97</v>
      </c>
      <c r="C80" s="1">
        <v>2976</v>
      </c>
      <c r="D80" s="1">
        <v>3000</v>
      </c>
      <c r="E80" s="22">
        <f t="shared" si="8"/>
        <v>24</v>
      </c>
      <c r="F80" s="22">
        <f t="shared" si="9"/>
        <v>192</v>
      </c>
      <c r="G80" s="22">
        <f t="shared" si="10"/>
        <v>9.6000000000000014</v>
      </c>
      <c r="H80" s="8">
        <f t="shared" si="11"/>
        <v>201.6</v>
      </c>
    </row>
    <row r="81" spans="1:8" x14ac:dyDescent="0.25">
      <c r="A81" s="2" t="s">
        <v>88</v>
      </c>
      <c r="B81" s="1" t="s">
        <v>98</v>
      </c>
      <c r="C81" s="1">
        <v>5560</v>
      </c>
      <c r="D81" s="1">
        <v>5565</v>
      </c>
      <c r="E81" s="22">
        <f t="shared" si="8"/>
        <v>5</v>
      </c>
      <c r="F81" s="22">
        <f t="shared" si="9"/>
        <v>100</v>
      </c>
      <c r="G81" s="22">
        <f t="shared" si="10"/>
        <v>5</v>
      </c>
      <c r="H81" s="8">
        <f t="shared" si="11"/>
        <v>105</v>
      </c>
    </row>
    <row r="82" spans="1:8" ht="15.75" thickBot="1" x14ac:dyDescent="0.3">
      <c r="A82" s="5" t="s">
        <v>89</v>
      </c>
      <c r="B82" s="12" t="s">
        <v>50</v>
      </c>
      <c r="C82" s="12">
        <v>4856</v>
      </c>
      <c r="D82" s="12">
        <v>4959</v>
      </c>
      <c r="E82" s="22">
        <f t="shared" si="8"/>
        <v>103</v>
      </c>
      <c r="F82" s="22">
        <f t="shared" si="9"/>
        <v>1236</v>
      </c>
      <c r="G82" s="22">
        <f t="shared" si="10"/>
        <v>61.800000000000004</v>
      </c>
      <c r="H82" s="8">
        <f t="shared" si="11"/>
        <v>1297.8</v>
      </c>
    </row>
  </sheetData>
  <mergeCells count="26">
    <mergeCell ref="A70:H70"/>
    <mergeCell ref="A65:D65"/>
    <mergeCell ref="A66:D66"/>
    <mergeCell ref="A67:C67"/>
    <mergeCell ref="A68:C68"/>
    <mergeCell ref="A69:C69"/>
    <mergeCell ref="A30:F30"/>
    <mergeCell ref="A31:J31"/>
    <mergeCell ref="A32:D32"/>
    <mergeCell ref="E3:F3"/>
    <mergeCell ref="A1:G1"/>
    <mergeCell ref="A13:M13"/>
    <mergeCell ref="C16:F16"/>
    <mergeCell ref="B16:B17"/>
    <mergeCell ref="A16:A17"/>
    <mergeCell ref="A59:J59"/>
    <mergeCell ref="A60:J60"/>
    <mergeCell ref="A61:J61"/>
    <mergeCell ref="A62:J62"/>
    <mergeCell ref="A33:E33"/>
    <mergeCell ref="A34:E34"/>
    <mergeCell ref="A35:C35"/>
    <mergeCell ref="A38:L38"/>
    <mergeCell ref="A42:L42"/>
    <mergeCell ref="A58:J58"/>
    <mergeCell ref="A39:L4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Mulmi</dc:creator>
  <cp:lastModifiedBy>NATIONAL</cp:lastModifiedBy>
  <dcterms:created xsi:type="dcterms:W3CDTF">2019-01-30T12:58:24Z</dcterms:created>
  <dcterms:modified xsi:type="dcterms:W3CDTF">2020-02-16T09:53:05Z</dcterms:modified>
</cp:coreProperties>
</file>