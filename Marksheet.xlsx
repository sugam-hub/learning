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ugam BCA\"/>
    </mc:Choice>
  </mc:AlternateContent>
  <xr:revisionPtr revIDLastSave="0" documentId="13_ncr:1_{049646C6-52D1-4A9D-9F2D-CEB6F5BB9897}" xr6:coauthVersionLast="45" xr6:coauthVersionMax="45" xr10:uidLastSave="{00000000-0000-0000-0000-000000000000}"/>
  <bookViews>
    <workbookView xWindow="-120" yWindow="-120" windowWidth="20730" windowHeight="11160" xr2:uid="{1D6CD9F9-E7D0-4994-B596-954C7AB55A04}"/>
  </bookViews>
  <sheets>
    <sheet name="Sheet1" sheetId="1" r:id="rId1"/>
  </sheets>
  <definedNames>
    <definedName name="_xlnm._FilterDatabase" localSheetId="0" hidden="1">Sheet1!$A$2:$N$12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M3" i="1"/>
  <c r="N3" i="1"/>
  <c r="L3" i="1" s="1"/>
  <c r="J4" i="1"/>
  <c r="K4" i="1"/>
  <c r="M4" i="1"/>
  <c r="N4" i="1"/>
  <c r="L4" i="1" s="1"/>
  <c r="J5" i="1"/>
  <c r="K5" i="1" s="1"/>
  <c r="M5" i="1"/>
  <c r="N5" i="1"/>
  <c r="L5" i="1" s="1"/>
  <c r="J6" i="1"/>
  <c r="K6" i="1"/>
  <c r="M6" i="1"/>
  <c r="N6" i="1"/>
  <c r="L6" i="1" s="1"/>
  <c r="J7" i="1"/>
  <c r="K7" i="1" s="1"/>
  <c r="M7" i="1"/>
  <c r="N7" i="1"/>
  <c r="L7" i="1" s="1"/>
  <c r="J8" i="1"/>
  <c r="K8" i="1"/>
  <c r="M8" i="1"/>
  <c r="N8" i="1"/>
  <c r="L8" i="1" s="1"/>
  <c r="J9" i="1"/>
  <c r="K9" i="1" s="1"/>
  <c r="M9" i="1"/>
  <c r="N9" i="1"/>
  <c r="L9" i="1" s="1"/>
  <c r="J10" i="1"/>
  <c r="K10" i="1"/>
  <c r="M10" i="1"/>
  <c r="N10" i="1"/>
  <c r="L10" i="1" s="1"/>
  <c r="J11" i="1"/>
  <c r="K11" i="1" s="1"/>
  <c r="M11" i="1"/>
  <c r="N11" i="1"/>
  <c r="L11" i="1" s="1"/>
  <c r="J12" i="1"/>
  <c r="K12" i="1"/>
  <c r="M12" i="1"/>
  <c r="N12" i="1"/>
  <c r="L12" i="1" s="1"/>
</calcChain>
</file>

<file path=xl/sharedStrings.xml><?xml version="1.0" encoding="utf-8"?>
<sst xmlns="http://schemas.openxmlformats.org/spreadsheetml/2006/main" count="53" uniqueCount="27">
  <si>
    <t>Serial No.</t>
  </si>
  <si>
    <t>Name</t>
  </si>
  <si>
    <t>Class</t>
  </si>
  <si>
    <t>Section</t>
  </si>
  <si>
    <t>CF</t>
  </si>
  <si>
    <t>DL</t>
  </si>
  <si>
    <t>Math</t>
  </si>
  <si>
    <t>Eng</t>
  </si>
  <si>
    <t xml:space="preserve">Total </t>
  </si>
  <si>
    <t>Percentage</t>
  </si>
  <si>
    <t>Division</t>
  </si>
  <si>
    <t>Rank</t>
  </si>
  <si>
    <t>Remark</t>
  </si>
  <si>
    <t>National College
Banasthali, Kathmandu
Result of BCA 1st SEMESTER, 2076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</si>
  <si>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</si>
  <si>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</si>
  <si>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</si>
  <si>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</si>
  <si>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</si>
  <si>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</si>
  <si>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</si>
  <si>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</si>
  <si>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</si>
  <si>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</si>
  <si>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BCA</t>
  </si>
  <si>
    <t>*</t>
  </si>
  <si>
    <t xml:space="preserve">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</si>
</sst>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b/>
        <i val="0"/>
      </font>
    </dxf>
    <dxf>
      <fill>
        <patternFill>
          <bgColor rgb="FFFFC7CE"/>
        </patternFill>
      </fill>
    </dxf>
    <dxf>
      <font>
        <color theme="4"/>
      </font>
    </dxf>
    <dxf>
      <font>
        <b/>
        <i val="0"/>
      </font>
    </dxf>
    <dxf>
      <fill>
        <patternFill>
          <bgColor rgb="FFFFC7CE"/>
        </patternFill>
      </fill>
    </dxf>
    <dxf>
      <font>
        <b/>
        <i val="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68E9-4408-4AFF-8C8D-3D7BD41239D6}">
  <dimension ref="A1:O12"/>
  <sheetViews>
    <sheetView tabSelected="1" workbookViewId="0">
      <selection activeCell="A2" sqref="A2:N12"/>
    </sheetView>
  </sheetViews>
  <sheetFormatPr defaultRowHeight="15" x14ac:dyDescent="0.25"/>
  <cols>
    <col min="1" max="1" width="10.42578125" style="1" bestFit="1" customWidth="1"/>
    <col min="2" max="7" width="9.140625" style="1"/>
    <col min="8" max="8" width="9.140625" style="1" bestFit="1" customWidth="1"/>
    <col min="9" max="9" width="9.140625" style="1" customWidth="1"/>
    <col min="10" max="10" width="9.140625" style="1"/>
    <col min="11" max="11" width="14.28515625" style="1" bestFit="1" customWidth="1"/>
    <col min="12" max="12" width="12.5703125" style="1" bestFit="1" customWidth="1"/>
    <col min="13" max="13" width="9.140625" style="1"/>
    <col min="14" max="14" width="10" style="1" bestFit="1" customWidth="1"/>
    <col min="15" max="16384" width="9.140625" style="1"/>
  </cols>
  <sheetData>
    <row r="1" spans="1:15" ht="43.5" customHeight="1" x14ac:dyDescent="0.25">
      <c r="A1" s="4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s="3" customFormat="1" ht="20.100000000000001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26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</row>
    <row r="3" spans="1:15" ht="20.100000000000001" customHeight="1" x14ac:dyDescent="0.25">
      <c r="A3" s="5">
        <v>1</v>
      </c>
      <c r="B3" s="5" t="s">
        <v>14</v>
      </c>
      <c r="C3" s="5" t="s">
        <v>24</v>
      </c>
      <c r="D3" s="5" t="s">
        <v>14</v>
      </c>
      <c r="E3" s="5">
        <v>27</v>
      </c>
      <c r="F3" s="5">
        <v>51</v>
      </c>
      <c r="G3" s="5">
        <v>60</v>
      </c>
      <c r="H3" s="5">
        <v>41</v>
      </c>
      <c r="I3" s="5">
        <v>20</v>
      </c>
      <c r="J3" s="7">
        <f>SUM(E3:I3)</f>
        <v>199</v>
      </c>
      <c r="K3" s="8">
        <f>J3/300*100</f>
        <v>66.333333333333329</v>
      </c>
      <c r="L3" s="5" t="str">
        <f>IF(N3="PASS",IF(K3&gt;=75,"DIST",IF(K3&gt;=60,"FISRST DIV",IF(K3&gt;=50,"SECOND DIV","FAIL"))),"FAIL")</f>
        <v>FAIL</v>
      </c>
      <c r="M3" s="5" t="str">
        <f>IF(O3&lt;&gt;"*",RANK(O3,$O$3:$O$12,1),"FAIL")</f>
        <v>FAIL</v>
      </c>
      <c r="N3" s="5" t="str">
        <f>IF(MIN(E3:I3)&gt;=24, "PASS","FAIL")</f>
        <v>FAIL</v>
      </c>
      <c r="O3" s="1" t="s">
        <v>25</v>
      </c>
    </row>
    <row r="4" spans="1:15" ht="20.100000000000001" customHeight="1" x14ac:dyDescent="0.25">
      <c r="A4" s="5">
        <v>2</v>
      </c>
      <c r="B4" s="5" t="s">
        <v>15</v>
      </c>
      <c r="C4" s="5" t="s">
        <v>24</v>
      </c>
      <c r="D4" s="5" t="s">
        <v>14</v>
      </c>
      <c r="E4" s="5">
        <v>50</v>
      </c>
      <c r="F4" s="5">
        <v>58</v>
      </c>
      <c r="G4" s="5">
        <v>43</v>
      </c>
      <c r="H4" s="5">
        <v>32</v>
      </c>
      <c r="I4" s="5">
        <v>18</v>
      </c>
      <c r="J4" s="7">
        <f>SUM(E4:I4)</f>
        <v>201</v>
      </c>
      <c r="K4" s="8">
        <f>J4/300*100</f>
        <v>67</v>
      </c>
      <c r="L4" s="5" t="str">
        <f>IF(N4="PASS",IF(K4&gt;=75,"DIST",IF(K4&gt;=60,"FISRST DIV",IF(K4&gt;=50,"SECOND DIV","FAIL"))),"FAIL")</f>
        <v>FAIL</v>
      </c>
      <c r="M4" s="5" t="str">
        <f>IF(O4&lt;&gt;"*",RANK(O4,$O$3:$O$12,1),"FAIL")</f>
        <v>FAIL</v>
      </c>
      <c r="N4" s="5" t="str">
        <f>IF(MIN(E4:I4)&gt;=24, "PASS","FAIL")</f>
        <v>FAIL</v>
      </c>
      <c r="O4" s="1" t="s">
        <v>25</v>
      </c>
    </row>
    <row r="5" spans="1:15" ht="20.100000000000001" customHeight="1" x14ac:dyDescent="0.25">
      <c r="A5" s="5">
        <v>3</v>
      </c>
      <c r="B5" s="5" t="s">
        <v>16</v>
      </c>
      <c r="C5" s="5" t="s">
        <v>24</v>
      </c>
      <c r="D5" s="5" t="s">
        <v>14</v>
      </c>
      <c r="E5" s="5">
        <v>38</v>
      </c>
      <c r="F5" s="5">
        <v>42</v>
      </c>
      <c r="G5" s="5">
        <v>33</v>
      </c>
      <c r="H5" s="5">
        <v>23</v>
      </c>
      <c r="I5" s="5">
        <v>46</v>
      </c>
      <c r="J5" s="7">
        <f>SUM(E5:I5)</f>
        <v>182</v>
      </c>
      <c r="K5" s="8">
        <f>J5/300*100</f>
        <v>60.666666666666671</v>
      </c>
      <c r="L5" s="5" t="str">
        <f>IF(N5="PASS",IF(K5&gt;=75,"DIST",IF(K5&gt;=60,"FISRST DIV",IF(K5&gt;=50,"SECOND DIV","FAIL"))),"FAIL")</f>
        <v>FAIL</v>
      </c>
      <c r="M5" s="5" t="str">
        <f>IF(O5&lt;&gt;"*",RANK(O5,$O$3:$O$12,1),"FAIL")</f>
        <v>FAIL</v>
      </c>
      <c r="N5" s="5" t="str">
        <f>IF(MIN(E5:I5)&gt;=24, "PASS","FAIL")</f>
        <v>FAIL</v>
      </c>
      <c r="O5" s="1" t="s">
        <v>25</v>
      </c>
    </row>
    <row r="6" spans="1:15" ht="20.100000000000001" customHeight="1" x14ac:dyDescent="0.25">
      <c r="A6" s="5">
        <v>4</v>
      </c>
      <c r="B6" s="5" t="s">
        <v>17</v>
      </c>
      <c r="C6" s="5" t="s">
        <v>24</v>
      </c>
      <c r="D6" s="5" t="s">
        <v>14</v>
      </c>
      <c r="E6" s="5">
        <v>35</v>
      </c>
      <c r="F6" s="5">
        <v>58</v>
      </c>
      <c r="G6" s="5">
        <v>33</v>
      </c>
      <c r="H6" s="5">
        <v>39</v>
      </c>
      <c r="I6" s="5">
        <v>32</v>
      </c>
      <c r="J6" s="7">
        <f>SUM(E6:I6)</f>
        <v>197</v>
      </c>
      <c r="K6" s="8">
        <f>J6/300*100</f>
        <v>65.666666666666657</v>
      </c>
      <c r="L6" s="5" t="str">
        <f>IF(N6="PASS",IF(K6&gt;=75,"DIST",IF(K6&gt;=60,"FISRST DIV",IF(K6&gt;=50,"SECOND DIV","FAIL"))),"FAIL")</f>
        <v>FISRST DIV</v>
      </c>
      <c r="M6" s="5">
        <f>IF(O6&lt;&gt;"*",RANK(O6,$O$3:$O$12,1),"FAIL")</f>
        <v>1</v>
      </c>
      <c r="N6" s="5" t="str">
        <f>IF(MIN(E6:I6)&gt;=24, "PASS","FAIL")</f>
        <v>PASS</v>
      </c>
      <c r="O6" s="1">
        <v>6</v>
      </c>
    </row>
    <row r="7" spans="1:15" ht="20.100000000000001" customHeight="1" x14ac:dyDescent="0.25">
      <c r="A7" s="5">
        <v>5</v>
      </c>
      <c r="B7" s="5" t="s">
        <v>18</v>
      </c>
      <c r="C7" s="5" t="s">
        <v>24</v>
      </c>
      <c r="D7" s="5" t="s">
        <v>14</v>
      </c>
      <c r="E7" s="5">
        <v>22</v>
      </c>
      <c r="F7" s="5">
        <v>40</v>
      </c>
      <c r="G7" s="5">
        <v>48</v>
      </c>
      <c r="H7" s="5">
        <v>51</v>
      </c>
      <c r="I7" s="5">
        <v>48</v>
      </c>
      <c r="J7" s="7">
        <f>SUM(E7:I7)</f>
        <v>209</v>
      </c>
      <c r="K7" s="8">
        <f>J7/300*100</f>
        <v>69.666666666666671</v>
      </c>
      <c r="L7" s="5" t="str">
        <f>IF(N7="PASS",IF(K7&gt;=75,"DIST",IF(K7&gt;=60,"FISRST DIV",IF(K7&gt;=50,"SECOND DIV","FAIL"))),"FAIL")</f>
        <v>FAIL</v>
      </c>
      <c r="M7" s="5" t="str">
        <f>IF(O7&lt;&gt;"*",RANK(O7,$O$3:$O$12,1),"FAIL")</f>
        <v>FAIL</v>
      </c>
      <c r="N7" s="5" t="str">
        <f>IF(MIN(E7:I7)&gt;=24, "PASS","FAIL")</f>
        <v>FAIL</v>
      </c>
      <c r="O7" s="1" t="s">
        <v>25</v>
      </c>
    </row>
    <row r="8" spans="1:15" ht="20.100000000000001" customHeight="1" x14ac:dyDescent="0.25">
      <c r="A8" s="5">
        <v>6</v>
      </c>
      <c r="B8" s="5" t="s">
        <v>19</v>
      </c>
      <c r="C8" s="5" t="s">
        <v>24</v>
      </c>
      <c r="D8" s="5" t="s">
        <v>14</v>
      </c>
      <c r="E8" s="5">
        <v>42</v>
      </c>
      <c r="F8" s="5">
        <v>19</v>
      </c>
      <c r="G8" s="5">
        <v>48</v>
      </c>
      <c r="H8" s="5">
        <v>54</v>
      </c>
      <c r="I8" s="5">
        <v>47</v>
      </c>
      <c r="J8" s="7">
        <f>SUM(E8:I8)</f>
        <v>210</v>
      </c>
      <c r="K8" s="8">
        <f>J8/300*100</f>
        <v>70</v>
      </c>
      <c r="L8" s="5" t="str">
        <f>IF(N8="PASS",IF(K8&gt;=75,"DIST",IF(K8&gt;=60,"FISRST DIV",IF(K8&gt;=50,"SECOND DIV","FAIL"))),"FAIL")</f>
        <v>FAIL</v>
      </c>
      <c r="M8" s="5" t="str">
        <f>IF(O8&lt;&gt;"*",RANK(O8,$O$3:$O$12,1),"FAIL")</f>
        <v>FAIL</v>
      </c>
      <c r="N8" s="5" t="str">
        <f>IF(MIN(E8:I8)&gt;=24, "PASS","FAIL")</f>
        <v>FAIL</v>
      </c>
      <c r="O8" s="1" t="s">
        <v>25</v>
      </c>
    </row>
    <row r="9" spans="1:15" ht="20.100000000000001" customHeight="1" x14ac:dyDescent="0.25">
      <c r="A9" s="5">
        <v>7</v>
      </c>
      <c r="B9" s="5" t="s">
        <v>20</v>
      </c>
      <c r="C9" s="5" t="s">
        <v>24</v>
      </c>
      <c r="D9" s="5" t="s">
        <v>14</v>
      </c>
      <c r="E9" s="5">
        <v>30</v>
      </c>
      <c r="F9" s="5">
        <v>57</v>
      </c>
      <c r="G9" s="5">
        <v>43</v>
      </c>
      <c r="H9" s="5">
        <v>26</v>
      </c>
      <c r="I9" s="5">
        <v>35</v>
      </c>
      <c r="J9" s="7">
        <f>SUM(E9:I9)</f>
        <v>191</v>
      </c>
      <c r="K9" s="8">
        <f>J9/300*100</f>
        <v>63.666666666666671</v>
      </c>
      <c r="L9" s="5" t="str">
        <f>IF(N9="PASS",IF(K9&gt;=75,"DIST",IF(K9&gt;=60,"FISRST DIV",IF(K9&gt;=50,"SECOND DIV","FAIL"))),"FAIL")</f>
        <v>FISRST DIV</v>
      </c>
      <c r="M9" s="5">
        <f>IF(O9&lt;&gt;"*",RANK(O9,$O$3:$O$12,1),"FAIL")</f>
        <v>2</v>
      </c>
      <c r="N9" s="5" t="str">
        <f>IF(MIN(E9:I9)&gt;=24, "PASS","FAIL")</f>
        <v>PASS</v>
      </c>
      <c r="O9" s="1">
        <v>7</v>
      </c>
    </row>
    <row r="10" spans="1:15" ht="20.100000000000001" customHeight="1" x14ac:dyDescent="0.25">
      <c r="A10" s="5">
        <v>8</v>
      </c>
      <c r="B10" s="5" t="s">
        <v>21</v>
      </c>
      <c r="C10" s="5" t="s">
        <v>24</v>
      </c>
      <c r="D10" s="5" t="s">
        <v>14</v>
      </c>
      <c r="E10" s="5">
        <v>51</v>
      </c>
      <c r="F10" s="5">
        <v>30</v>
      </c>
      <c r="G10" s="5">
        <v>23</v>
      </c>
      <c r="H10" s="5">
        <v>57</v>
      </c>
      <c r="I10" s="5">
        <v>45</v>
      </c>
      <c r="J10" s="7">
        <f>SUM(E10:I10)</f>
        <v>206</v>
      </c>
      <c r="K10" s="8">
        <f>J10/300*100</f>
        <v>68.666666666666671</v>
      </c>
      <c r="L10" s="5" t="str">
        <f>IF(N10="PASS",IF(K10&gt;=75,"DIST",IF(K10&gt;=60,"FISRST DIV",IF(K10&gt;=50,"SECOND DIV","FAIL"))),"FAIL")</f>
        <v>FAIL</v>
      </c>
      <c r="M10" s="5" t="str">
        <f>IF(O10&lt;&gt;"*",RANK(O10,$O$3:$O$12,1),"FAIL")</f>
        <v>FAIL</v>
      </c>
      <c r="N10" s="5" t="str">
        <f>IF(MIN(E10:I10)&gt;=24, "PASS","FAIL")</f>
        <v>FAIL</v>
      </c>
      <c r="O10" s="1" t="s">
        <v>25</v>
      </c>
    </row>
    <row r="11" spans="1:15" ht="20.100000000000001" customHeight="1" x14ac:dyDescent="0.25">
      <c r="A11" s="5">
        <v>9</v>
      </c>
      <c r="B11" s="5" t="s">
        <v>22</v>
      </c>
      <c r="C11" s="5" t="s">
        <v>24</v>
      </c>
      <c r="D11" s="5" t="s">
        <v>14</v>
      </c>
      <c r="E11" s="5">
        <v>16</v>
      </c>
      <c r="F11" s="5">
        <v>50</v>
      </c>
      <c r="G11" s="5">
        <v>40</v>
      </c>
      <c r="H11" s="5">
        <v>24</v>
      </c>
      <c r="I11" s="5">
        <v>33</v>
      </c>
      <c r="J11" s="7">
        <f>SUM(E11:I11)</f>
        <v>163</v>
      </c>
      <c r="K11" s="8">
        <f>J11/300*100</f>
        <v>54.333333333333336</v>
      </c>
      <c r="L11" s="5" t="str">
        <f>IF(N11="PASS",IF(K11&gt;=75,"DIST",IF(K11&gt;=60,"FISRST DIV",IF(K11&gt;=50,"SECOND DIV","FAIL"))),"FAIL")</f>
        <v>FAIL</v>
      </c>
      <c r="M11" s="5" t="str">
        <f>IF(O11&lt;&gt;"*",RANK(O11,$O$3:$O$12,1),"FAIL")</f>
        <v>FAIL</v>
      </c>
      <c r="N11" s="5" t="str">
        <f>IF(MIN(E11:I11)&gt;=24, "PASS","FAIL")</f>
        <v>FAIL</v>
      </c>
      <c r="O11" s="1" t="s">
        <v>25</v>
      </c>
    </row>
    <row r="12" spans="1:15" ht="20.100000000000001" customHeight="1" x14ac:dyDescent="0.25">
      <c r="A12" s="5">
        <v>10</v>
      </c>
      <c r="B12" s="5" t="s">
        <v>23</v>
      </c>
      <c r="C12" s="5" t="s">
        <v>24</v>
      </c>
      <c r="D12" s="5" t="s">
        <v>14</v>
      </c>
      <c r="E12" s="5">
        <v>37</v>
      </c>
      <c r="F12" s="5">
        <v>57</v>
      </c>
      <c r="G12" s="5">
        <v>18</v>
      </c>
      <c r="H12" s="5">
        <v>18</v>
      </c>
      <c r="I12" s="5">
        <v>40</v>
      </c>
      <c r="J12" s="7">
        <f>SUM(E12:I12)</f>
        <v>170</v>
      </c>
      <c r="K12" s="8">
        <f>J12/300*100</f>
        <v>56.666666666666664</v>
      </c>
      <c r="L12" s="5" t="str">
        <f>IF(N12="PASS",IF(K12&gt;=75,"DIST",IF(K12&gt;=60,"FISRST DIV",IF(K12&gt;=50,"SECOND DIV","FAIL"))),"FAIL")</f>
        <v>FAIL</v>
      </c>
      <c r="M12" s="5" t="str">
        <f>IF(O12&lt;&gt;"*",RANK(O12,$O$3:$O$12,1),"FAIL")</f>
        <v>FAIL</v>
      </c>
      <c r="N12" s="5" t="str">
        <f>IF(MIN(E12:I12)&gt;=24, "PASS","FAIL")</f>
        <v>FAIL</v>
      </c>
      <c r="O12" s="1" t="s">
        <v>25</v>
      </c>
    </row>
  </sheetData>
  <sortState ref="B3:N12">
    <sortCondition ref="B3"/>
  </sortState>
  <mergeCells count="1">
    <mergeCell ref="A1:N1"/>
  </mergeCells>
  <conditionalFormatting sqref="E3:I12">
    <cfRule type="cellIs" dxfId="6" priority="4" operator="lessThan">
      <formula>24</formula>
    </cfRule>
    <cfRule type="cellIs" dxfId="5" priority="3" operator="lessThan">
      <formula>24</formula>
    </cfRule>
    <cfRule type="cellIs" dxfId="4" priority="2" operator="lessThan">
      <formula>24</formula>
    </cfRule>
  </conditionalFormatting>
  <conditionalFormatting sqref="N3:N12">
    <cfRule type="containsText" dxfId="0" priority="1" operator="containsText" text="FAIL">
      <formula>NOT(ISERROR(SEARCH("FAIL",N3)))</formula>
    </cfRule>
  </conditionalFormatting>
  <pageMargins left="0.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</dc:creator>
  <cp:lastModifiedBy>NATIONAL</cp:lastModifiedBy>
  <cp:lastPrinted>2020-02-14T07:43:53Z</cp:lastPrinted>
  <dcterms:created xsi:type="dcterms:W3CDTF">2020-02-09T08:24:14Z</dcterms:created>
  <dcterms:modified xsi:type="dcterms:W3CDTF">2020-02-14T07:45:03Z</dcterms:modified>
</cp:coreProperties>
</file>